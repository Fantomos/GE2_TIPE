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9010D77A-B99C-464E-B572-C1682AED871D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Gantt" sheetId="1" r:id="rId1"/>
  </sheets>
  <definedNames>
    <definedName name="_xlnm._FilterDatabase" localSheetId="0" hidden="1">Gantt!$A$6:$CT$151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G5" i="1"/>
  <c r="AN5" i="1"/>
  <c r="AU5" i="1"/>
  <c r="BB5" i="1"/>
  <c r="BI5" i="1"/>
  <c r="BP5" i="1"/>
  <c r="BW5" i="1"/>
  <c r="CD5" i="1"/>
  <c r="CK5" i="1"/>
  <c r="CR5" i="1"/>
  <c r="S5" i="1"/>
  <c r="B45" i="1" l="1"/>
  <c r="B43" i="1"/>
  <c r="B44" i="1" s="1"/>
  <c r="B41" i="1"/>
  <c r="B42" i="1" s="1"/>
  <c r="DA17" i="1"/>
  <c r="DB17" i="1"/>
  <c r="DA18" i="1"/>
  <c r="DB18" i="1"/>
  <c r="DA19" i="1"/>
  <c r="DB19" i="1"/>
  <c r="DA20" i="1"/>
  <c r="DB20" i="1"/>
  <c r="DA21" i="1"/>
  <c r="DB21" i="1"/>
  <c r="DA22" i="1"/>
  <c r="DB22" i="1"/>
  <c r="DA23" i="1"/>
  <c r="DB23" i="1"/>
  <c r="DA24" i="1"/>
  <c r="DB24" i="1"/>
  <c r="DA25" i="1"/>
  <c r="DB25" i="1"/>
  <c r="DA26" i="1"/>
  <c r="DB26" i="1"/>
  <c r="DA27" i="1"/>
  <c r="DB27" i="1"/>
  <c r="DA28" i="1"/>
  <c r="DB28" i="1"/>
  <c r="DA29" i="1"/>
  <c r="DB29" i="1"/>
  <c r="DA30" i="1"/>
  <c r="DB30" i="1"/>
  <c r="DA31" i="1"/>
  <c r="DB31" i="1"/>
  <c r="DA32" i="1"/>
  <c r="DB32" i="1"/>
  <c r="DA33" i="1"/>
  <c r="DB33" i="1"/>
  <c r="DA34" i="1"/>
  <c r="DB34" i="1"/>
  <c r="DA35" i="1"/>
  <c r="DB35" i="1"/>
  <c r="DA36" i="1"/>
  <c r="DB36" i="1"/>
  <c r="DA37" i="1"/>
  <c r="DB37" i="1"/>
  <c r="DA38" i="1"/>
  <c r="DB38" i="1"/>
  <c r="DA39" i="1"/>
  <c r="DB39" i="1"/>
  <c r="DA40" i="1"/>
  <c r="DB40" i="1"/>
  <c r="DA41" i="1"/>
  <c r="DB41" i="1"/>
  <c r="DA42" i="1"/>
  <c r="DB42" i="1"/>
  <c r="DA43" i="1"/>
  <c r="DB43" i="1"/>
  <c r="DA44" i="1"/>
  <c r="DB44" i="1"/>
  <c r="DA45" i="1"/>
  <c r="DB45" i="1"/>
  <c r="DA46" i="1"/>
  <c r="DB46" i="1"/>
  <c r="DA47" i="1"/>
  <c r="DB47" i="1"/>
  <c r="DA48" i="1"/>
  <c r="DB48" i="1"/>
  <c r="DA49" i="1"/>
  <c r="DB49" i="1"/>
  <c r="DA50" i="1"/>
  <c r="DB50" i="1"/>
  <c r="DA51" i="1"/>
  <c r="DB51" i="1"/>
  <c r="DA52" i="1"/>
  <c r="DB52" i="1"/>
  <c r="DA53" i="1"/>
  <c r="DB53" i="1"/>
  <c r="DA54" i="1"/>
  <c r="DB54" i="1"/>
  <c r="DA55" i="1"/>
  <c r="DB55" i="1"/>
  <c r="DA56" i="1"/>
  <c r="DB56" i="1"/>
  <c r="DA57" i="1"/>
  <c r="DB57" i="1"/>
  <c r="DA58" i="1"/>
  <c r="DB58" i="1"/>
  <c r="DA59" i="1"/>
  <c r="DB59" i="1"/>
  <c r="DA60" i="1"/>
  <c r="DB60" i="1"/>
  <c r="DA61" i="1"/>
  <c r="DB61" i="1"/>
  <c r="DA62" i="1"/>
  <c r="DB62" i="1"/>
  <c r="DA63" i="1"/>
  <c r="DB63" i="1"/>
  <c r="DA64" i="1"/>
  <c r="DB64" i="1"/>
  <c r="DA65" i="1"/>
  <c r="DB65" i="1"/>
  <c r="DA66" i="1"/>
  <c r="DB66" i="1"/>
  <c r="DA67" i="1"/>
  <c r="DB67" i="1"/>
  <c r="DA68" i="1"/>
  <c r="DB68" i="1"/>
  <c r="DA69" i="1"/>
  <c r="DB69" i="1"/>
  <c r="DA70" i="1"/>
  <c r="DB70" i="1"/>
  <c r="DA71" i="1"/>
  <c r="DB71" i="1"/>
  <c r="DA72" i="1"/>
  <c r="DB72" i="1"/>
  <c r="DA73" i="1"/>
  <c r="DB73" i="1"/>
  <c r="DA74" i="1"/>
  <c r="DB74" i="1"/>
  <c r="DA75" i="1"/>
  <c r="DB75" i="1"/>
  <c r="DA76" i="1"/>
  <c r="DB76" i="1"/>
  <c r="DA77" i="1"/>
  <c r="DB77" i="1"/>
  <c r="DA78" i="1"/>
  <c r="DB78" i="1"/>
  <c r="DA79" i="1"/>
  <c r="DB79" i="1"/>
  <c r="DA80" i="1"/>
  <c r="DB80" i="1"/>
  <c r="DA81" i="1"/>
  <c r="DB81" i="1"/>
  <c r="DA82" i="1"/>
  <c r="DB82" i="1"/>
  <c r="DA83" i="1"/>
  <c r="DB83" i="1"/>
  <c r="DA84" i="1"/>
  <c r="DB84" i="1"/>
  <c r="DA85" i="1"/>
  <c r="DB85" i="1"/>
  <c r="DA86" i="1"/>
  <c r="DB86" i="1"/>
  <c r="DA87" i="1"/>
  <c r="DB87" i="1"/>
  <c r="DA88" i="1"/>
  <c r="DB88" i="1"/>
  <c r="DA89" i="1"/>
  <c r="DB89" i="1"/>
  <c r="DA90" i="1"/>
  <c r="DB90" i="1"/>
  <c r="DA91" i="1"/>
  <c r="DB91" i="1"/>
  <c r="DA92" i="1"/>
  <c r="DB92" i="1"/>
  <c r="DA93" i="1"/>
  <c r="DB93" i="1"/>
  <c r="DA94" i="1"/>
  <c r="DB94" i="1"/>
  <c r="DA95" i="1"/>
  <c r="DB95" i="1"/>
  <c r="DA96" i="1"/>
  <c r="DB96" i="1"/>
  <c r="DA97" i="1"/>
  <c r="DB97" i="1"/>
  <c r="DA98" i="1"/>
  <c r="DB98" i="1"/>
  <c r="DA99" i="1"/>
  <c r="DB99" i="1"/>
  <c r="DA100" i="1"/>
  <c r="DB100" i="1"/>
  <c r="DA101" i="1"/>
  <c r="DB101" i="1"/>
  <c r="DA102" i="1"/>
  <c r="DB102" i="1"/>
  <c r="DA103" i="1"/>
  <c r="DB103" i="1"/>
  <c r="DA104" i="1"/>
  <c r="DB104" i="1"/>
  <c r="DA105" i="1"/>
  <c r="DB105" i="1"/>
  <c r="DA106" i="1"/>
  <c r="DB106" i="1"/>
  <c r="DA107" i="1"/>
  <c r="DB107" i="1"/>
  <c r="DA108" i="1"/>
  <c r="DB108" i="1"/>
  <c r="DA109" i="1"/>
  <c r="DB109" i="1"/>
  <c r="DA110" i="1"/>
  <c r="DB110" i="1"/>
  <c r="DA111" i="1"/>
  <c r="DB111" i="1"/>
  <c r="DA112" i="1"/>
  <c r="DB112" i="1"/>
  <c r="DA113" i="1"/>
  <c r="DB113" i="1"/>
  <c r="DA114" i="1"/>
  <c r="DB114" i="1"/>
  <c r="DA115" i="1"/>
  <c r="DB115" i="1"/>
  <c r="DA116" i="1"/>
  <c r="DB116" i="1"/>
  <c r="DA117" i="1"/>
  <c r="DB117" i="1"/>
  <c r="DA118" i="1"/>
  <c r="DB118" i="1"/>
  <c r="DA119" i="1"/>
  <c r="DB119" i="1"/>
  <c r="DA120" i="1"/>
  <c r="DB120" i="1"/>
  <c r="DA121" i="1"/>
  <c r="DB121" i="1"/>
  <c r="DA122" i="1"/>
  <c r="DB122" i="1"/>
  <c r="DA123" i="1"/>
  <c r="DB123" i="1"/>
  <c r="DA124" i="1"/>
  <c r="DB124" i="1"/>
  <c r="DA125" i="1"/>
  <c r="DB125" i="1"/>
  <c r="DA126" i="1"/>
  <c r="DB126" i="1"/>
  <c r="DA127" i="1"/>
  <c r="DB127" i="1"/>
  <c r="DA128" i="1"/>
  <c r="DB128" i="1"/>
  <c r="DA129" i="1"/>
  <c r="DB129" i="1"/>
  <c r="DA130" i="1"/>
  <c r="DB130" i="1"/>
  <c r="DA131" i="1"/>
  <c r="DB131" i="1"/>
  <c r="DA132" i="1"/>
  <c r="DB132" i="1"/>
  <c r="DA133" i="1"/>
  <c r="DB133" i="1"/>
  <c r="DA134" i="1"/>
  <c r="DB134" i="1"/>
  <c r="DA135" i="1"/>
  <c r="DB135" i="1"/>
  <c r="DA136" i="1"/>
  <c r="DB136" i="1"/>
  <c r="DA137" i="1"/>
  <c r="DB137" i="1"/>
  <c r="DA138" i="1"/>
  <c r="DB138" i="1"/>
  <c r="DA139" i="1"/>
  <c r="DB139" i="1"/>
  <c r="DA140" i="1"/>
  <c r="DB140" i="1"/>
  <c r="DA141" i="1"/>
  <c r="DB141" i="1"/>
  <c r="DA142" i="1"/>
  <c r="DB142" i="1"/>
  <c r="DA143" i="1"/>
  <c r="DB143" i="1"/>
  <c r="DA144" i="1"/>
  <c r="DB144" i="1"/>
  <c r="DA145" i="1"/>
  <c r="DB145" i="1"/>
  <c r="DA146" i="1"/>
  <c r="DB146" i="1"/>
  <c r="DA147" i="1"/>
  <c r="DB147" i="1"/>
  <c r="DA148" i="1"/>
  <c r="DB148" i="1"/>
  <c r="DA149" i="1"/>
  <c r="DB149" i="1"/>
  <c r="DA150" i="1"/>
  <c r="DB150" i="1"/>
  <c r="DA151" i="1"/>
  <c r="DB151" i="1"/>
  <c r="DA152" i="1"/>
  <c r="DB152" i="1"/>
  <c r="DA153" i="1"/>
  <c r="DB153" i="1"/>
  <c r="DA154" i="1"/>
  <c r="DB154" i="1"/>
  <c r="DA155" i="1"/>
  <c r="DB155" i="1"/>
  <c r="DA156" i="1"/>
  <c r="DB156" i="1"/>
  <c r="DA157" i="1"/>
  <c r="DB157" i="1"/>
  <c r="DA158" i="1"/>
  <c r="DB158" i="1"/>
  <c r="DA159" i="1"/>
  <c r="DB159" i="1"/>
  <c r="DA160" i="1"/>
  <c r="DB160" i="1"/>
  <c r="DA161" i="1"/>
  <c r="DB161" i="1"/>
  <c r="DA162" i="1"/>
  <c r="DB162" i="1"/>
  <c r="DA163" i="1"/>
  <c r="DB163" i="1"/>
  <c r="DA164" i="1"/>
  <c r="DB164" i="1"/>
  <c r="DA165" i="1"/>
  <c r="DB165" i="1"/>
  <c r="DA166" i="1"/>
  <c r="DB166" i="1"/>
  <c r="DA167" i="1"/>
  <c r="DB167" i="1"/>
  <c r="DA168" i="1"/>
  <c r="DB168" i="1"/>
  <c r="DA169" i="1"/>
  <c r="DB169" i="1"/>
  <c r="DA170" i="1"/>
  <c r="DB170" i="1"/>
  <c r="DA171" i="1"/>
  <c r="DB171" i="1"/>
  <c r="DA172" i="1"/>
  <c r="DB172" i="1"/>
  <c r="DA173" i="1"/>
  <c r="DB173" i="1"/>
  <c r="DA174" i="1"/>
  <c r="DB174" i="1"/>
  <c r="DA175" i="1"/>
  <c r="DB175" i="1"/>
  <c r="DA176" i="1"/>
  <c r="DB176" i="1"/>
  <c r="DA177" i="1"/>
  <c r="DB177" i="1"/>
  <c r="DA178" i="1"/>
  <c r="DB178" i="1"/>
  <c r="DA179" i="1"/>
  <c r="DB179" i="1"/>
  <c r="DA180" i="1"/>
  <c r="DB180" i="1"/>
  <c r="DA181" i="1"/>
  <c r="DB181" i="1"/>
  <c r="DA182" i="1"/>
  <c r="DB182" i="1"/>
  <c r="DA183" i="1"/>
  <c r="DB183" i="1"/>
  <c r="DA184" i="1"/>
  <c r="DB184" i="1"/>
  <c r="DA185" i="1"/>
  <c r="DB185" i="1"/>
  <c r="DA186" i="1"/>
  <c r="DB186" i="1"/>
  <c r="DA187" i="1"/>
  <c r="DB187" i="1"/>
  <c r="DA188" i="1"/>
  <c r="DB188" i="1"/>
  <c r="DA189" i="1"/>
  <c r="DB189" i="1"/>
  <c r="DA190" i="1"/>
  <c r="DB190" i="1"/>
  <c r="DA191" i="1"/>
  <c r="DB191" i="1"/>
  <c r="DA192" i="1"/>
  <c r="DB192" i="1"/>
  <c r="DA193" i="1"/>
  <c r="DB193" i="1"/>
  <c r="DA194" i="1"/>
  <c r="DB194" i="1"/>
  <c r="DA195" i="1"/>
  <c r="DB195" i="1"/>
  <c r="DA196" i="1"/>
  <c r="DB196" i="1"/>
  <c r="DA197" i="1"/>
  <c r="DB197" i="1"/>
  <c r="DA198" i="1"/>
  <c r="DB198" i="1"/>
  <c r="DA199" i="1"/>
  <c r="DB199" i="1"/>
  <c r="DA200" i="1"/>
  <c r="DB200" i="1"/>
  <c r="DA201" i="1"/>
  <c r="DB201" i="1"/>
  <c r="DA202" i="1"/>
  <c r="DB202" i="1"/>
  <c r="DA203" i="1"/>
  <c r="DB203" i="1"/>
  <c r="DA204" i="1"/>
  <c r="DB204" i="1"/>
  <c r="DA205" i="1"/>
  <c r="DB205" i="1"/>
  <c r="DA206" i="1"/>
  <c r="DB206" i="1"/>
  <c r="DA207" i="1"/>
  <c r="DB207" i="1"/>
  <c r="DA208" i="1"/>
  <c r="DB208" i="1"/>
  <c r="DA209" i="1"/>
  <c r="DB209" i="1"/>
  <c r="DA210" i="1"/>
  <c r="DB210" i="1"/>
  <c r="DA211" i="1"/>
  <c r="DB211" i="1"/>
  <c r="DA212" i="1"/>
  <c r="DB212" i="1"/>
  <c r="DA213" i="1"/>
  <c r="DB213" i="1"/>
  <c r="DA214" i="1"/>
  <c r="DB214" i="1"/>
  <c r="DA215" i="1"/>
  <c r="DB215" i="1"/>
  <c r="DA216" i="1"/>
  <c r="DB216" i="1"/>
  <c r="DA217" i="1"/>
  <c r="DB217" i="1"/>
  <c r="DA218" i="1"/>
  <c r="DB218" i="1"/>
  <c r="DA219" i="1"/>
  <c r="DB219" i="1"/>
  <c r="DA220" i="1"/>
  <c r="DB220" i="1"/>
  <c r="DA221" i="1"/>
  <c r="DB221" i="1"/>
  <c r="DA222" i="1"/>
  <c r="DB222" i="1"/>
  <c r="DA223" i="1"/>
  <c r="DB223" i="1"/>
  <c r="DA224" i="1"/>
  <c r="DB224" i="1"/>
  <c r="DA225" i="1"/>
  <c r="DB225" i="1"/>
  <c r="DA226" i="1"/>
  <c r="DB226" i="1"/>
  <c r="DA227" i="1"/>
  <c r="DB227" i="1"/>
  <c r="DA228" i="1"/>
  <c r="DB228" i="1"/>
  <c r="L5" i="1"/>
  <c r="G55" i="1" l="1"/>
  <c r="G47" i="1"/>
  <c r="G39" i="1"/>
  <c r="G31" i="1"/>
  <c r="G25" i="1"/>
  <c r="F10" i="1"/>
  <c r="F12" i="1"/>
  <c r="F14" i="1"/>
  <c r="F16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8" i="1"/>
  <c r="C1" i="1"/>
  <c r="D18" i="1"/>
  <c r="E18" i="1"/>
  <c r="E19" i="1"/>
  <c r="D20" i="1"/>
  <c r="E20" i="1"/>
  <c r="D22" i="1"/>
  <c r="E22" i="1"/>
  <c r="D24" i="1"/>
  <c r="E24" i="1"/>
  <c r="D26" i="1"/>
  <c r="E26" i="1"/>
  <c r="E27" i="1"/>
  <c r="D28" i="1"/>
  <c r="E28" i="1"/>
  <c r="D30" i="1"/>
  <c r="E30" i="1"/>
  <c r="D32" i="1"/>
  <c r="E32" i="1"/>
  <c r="E33" i="1"/>
  <c r="D34" i="1"/>
  <c r="E34" i="1"/>
  <c r="D36" i="1"/>
  <c r="E36" i="1"/>
  <c r="D38" i="1"/>
  <c r="E38" i="1"/>
  <c r="D40" i="1"/>
  <c r="E40" i="1"/>
  <c r="E41" i="1"/>
  <c r="D42" i="1"/>
  <c r="E42" i="1"/>
  <c r="D44" i="1"/>
  <c r="E44" i="1"/>
  <c r="D46" i="1"/>
  <c r="E46" i="1"/>
  <c r="D48" i="1"/>
  <c r="E48" i="1"/>
  <c r="D50" i="1"/>
  <c r="E50" i="1"/>
  <c r="D52" i="1"/>
  <c r="E52" i="1"/>
  <c r="D54" i="1"/>
  <c r="E54" i="1"/>
  <c r="D56" i="1"/>
  <c r="E56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8" i="1"/>
  <c r="E8" i="1"/>
  <c r="E9" i="1"/>
  <c r="F9" i="1" s="1"/>
  <c r="D10" i="1"/>
  <c r="E10" i="1"/>
  <c r="D12" i="1"/>
  <c r="E12" i="1"/>
  <c r="D14" i="1"/>
  <c r="E14" i="1"/>
  <c r="D16" i="1"/>
  <c r="E16" i="1"/>
  <c r="E236" i="1"/>
  <c r="E237" i="1"/>
  <c r="E238" i="1"/>
  <c r="E239" i="1"/>
  <c r="E240" i="1"/>
  <c r="E241" i="1"/>
  <c r="E242" i="1"/>
  <c r="E243" i="1"/>
  <c r="F243" i="1" s="1"/>
  <c r="E244" i="1"/>
  <c r="F244" i="1" s="1"/>
  <c r="E245" i="1"/>
  <c r="F245" i="1" s="1"/>
  <c r="E246" i="1"/>
  <c r="F246" i="1" s="1"/>
  <c r="E247" i="1"/>
  <c r="F247" i="1" s="1"/>
  <c r="E17" i="1"/>
  <c r="DB16" i="1"/>
  <c r="DB15" i="1"/>
  <c r="DB14" i="1"/>
  <c r="DB13" i="1"/>
  <c r="DB12" i="1"/>
  <c r="DB11" i="1"/>
  <c r="DB10" i="1"/>
  <c r="DB9" i="1"/>
  <c r="DB8" i="1"/>
  <c r="DB7" i="1"/>
  <c r="DA16" i="1"/>
  <c r="DA15" i="1"/>
  <c r="B15" i="1"/>
  <c r="B16" i="1" s="1"/>
  <c r="B17" i="1"/>
  <c r="B18" i="1" s="1"/>
  <c r="E260" i="1"/>
  <c r="F260" i="1" s="1"/>
  <c r="E259" i="1"/>
  <c r="F259" i="1" s="1"/>
  <c r="E258" i="1"/>
  <c r="F258" i="1" s="1"/>
  <c r="E257" i="1"/>
  <c r="F257" i="1" s="1"/>
  <c r="E256" i="1"/>
  <c r="F256" i="1" s="1"/>
  <c r="E255" i="1"/>
  <c r="F255" i="1" s="1"/>
  <c r="E254" i="1"/>
  <c r="F254" i="1" s="1"/>
  <c r="E253" i="1"/>
  <c r="F253" i="1" s="1"/>
  <c r="E252" i="1"/>
  <c r="F252" i="1" s="1"/>
  <c r="E251" i="1"/>
  <c r="F251" i="1" s="1"/>
  <c r="E250" i="1"/>
  <c r="F250" i="1" s="1"/>
  <c r="E249" i="1"/>
  <c r="F249" i="1" s="1"/>
  <c r="E248" i="1"/>
  <c r="F248" i="1" s="1"/>
  <c r="DA287" i="1"/>
  <c r="DA286" i="1"/>
  <c r="DA285" i="1"/>
  <c r="DA284" i="1"/>
  <c r="DA283" i="1"/>
  <c r="DA282" i="1"/>
  <c r="DA281" i="1"/>
  <c r="DA280" i="1"/>
  <c r="DA279" i="1"/>
  <c r="DA278" i="1"/>
  <c r="DA277" i="1"/>
  <c r="DA276" i="1"/>
  <c r="DA275" i="1"/>
  <c r="DA274" i="1"/>
  <c r="DA273" i="1"/>
  <c r="DA272" i="1"/>
  <c r="DA271" i="1"/>
  <c r="DA270" i="1"/>
  <c r="DA269" i="1"/>
  <c r="DA268" i="1"/>
  <c r="DA267" i="1"/>
  <c r="DA266" i="1"/>
  <c r="DA265" i="1"/>
  <c r="DA264" i="1"/>
  <c r="DA263" i="1"/>
  <c r="DA262" i="1"/>
  <c r="DA261" i="1"/>
  <c r="DA260" i="1"/>
  <c r="DA259" i="1"/>
  <c r="DA258" i="1"/>
  <c r="DA257" i="1"/>
  <c r="DA256" i="1"/>
  <c r="DA255" i="1"/>
  <c r="DA254" i="1"/>
  <c r="DA253" i="1"/>
  <c r="DA252" i="1"/>
  <c r="DA251" i="1"/>
  <c r="DA250" i="1"/>
  <c r="DA249" i="1"/>
  <c r="DA248" i="1"/>
  <c r="DA247" i="1"/>
  <c r="DA246" i="1"/>
  <c r="DA245" i="1"/>
  <c r="DA244" i="1"/>
  <c r="DA243" i="1"/>
  <c r="DA242" i="1"/>
  <c r="DA241" i="1"/>
  <c r="DA240" i="1"/>
  <c r="DA239" i="1"/>
  <c r="DA238" i="1"/>
  <c r="DA237" i="1"/>
  <c r="DA236" i="1"/>
  <c r="DA235" i="1"/>
  <c r="DA234" i="1"/>
  <c r="DA233" i="1"/>
  <c r="DA232" i="1"/>
  <c r="DA231" i="1"/>
  <c r="DA230" i="1"/>
  <c r="DA229" i="1"/>
  <c r="DA14" i="1"/>
  <c r="DA13" i="1"/>
  <c r="DA12" i="1"/>
  <c r="DA11" i="1"/>
  <c r="DA10" i="1"/>
  <c r="DA9" i="1"/>
  <c r="DA8" i="1"/>
  <c r="DA7" i="1"/>
  <c r="B11" i="1"/>
  <c r="B12" i="1" s="1"/>
  <c r="B13" i="1"/>
  <c r="B14" i="1" s="1"/>
  <c r="B9" i="1"/>
  <c r="B10" i="1" s="1"/>
  <c r="B19" i="1"/>
  <c r="B20" i="1" s="1"/>
  <c r="B21" i="1"/>
  <c r="B22" i="1" s="1"/>
  <c r="B23" i="1"/>
  <c r="B24" i="1" s="1"/>
  <c r="B25" i="1"/>
  <c r="B26" i="1" s="1"/>
  <c r="B27" i="1"/>
  <c r="B28" i="1" s="1"/>
  <c r="B29" i="1"/>
  <c r="B30" i="1" s="1"/>
  <c r="B31" i="1"/>
  <c r="B32" i="1" s="1"/>
  <c r="B33" i="1"/>
  <c r="B34" i="1" s="1"/>
  <c r="B35" i="1"/>
  <c r="B36" i="1" s="1"/>
  <c r="B37" i="1"/>
  <c r="B38" i="1" s="1"/>
  <c r="B39" i="1"/>
  <c r="B40" i="1" s="1"/>
  <c r="B46" i="1"/>
  <c r="B47" i="1"/>
  <c r="B48" i="1" s="1"/>
  <c r="B49" i="1"/>
  <c r="B50" i="1" s="1"/>
  <c r="B51" i="1"/>
  <c r="B52" i="1" s="1"/>
  <c r="B53" i="1"/>
  <c r="B54" i="1" s="1"/>
  <c r="B55" i="1"/>
  <c r="B56" i="1" s="1"/>
  <c r="B57" i="1"/>
  <c r="B58" i="1" s="1"/>
  <c r="B59" i="1"/>
  <c r="B60" i="1" s="1"/>
  <c r="B61" i="1"/>
  <c r="B62" i="1" s="1"/>
  <c r="B63" i="1"/>
  <c r="B64" i="1" s="1"/>
  <c r="B65" i="1"/>
  <c r="B66" i="1" s="1"/>
  <c r="B67" i="1"/>
  <c r="B68" i="1" s="1"/>
  <c r="B69" i="1"/>
  <c r="B70" i="1" s="1"/>
  <c r="B71" i="1"/>
  <c r="B72" i="1" s="1"/>
  <c r="B73" i="1"/>
  <c r="B74" i="1" s="1"/>
  <c r="B75" i="1"/>
  <c r="B76" i="1" s="1"/>
  <c r="B77" i="1"/>
  <c r="B78" i="1" s="1"/>
  <c r="B79" i="1"/>
  <c r="B80" i="1" s="1"/>
  <c r="B81" i="1"/>
  <c r="B82" i="1" s="1"/>
  <c r="B83" i="1"/>
  <c r="B84" i="1" s="1"/>
  <c r="B85" i="1"/>
  <c r="B86" i="1" s="1"/>
  <c r="B87" i="1"/>
  <c r="B88" i="1" s="1"/>
  <c r="B89" i="1"/>
  <c r="B90" i="1" s="1"/>
  <c r="B91" i="1"/>
  <c r="B92" i="1" s="1"/>
  <c r="B93" i="1"/>
  <c r="B94" i="1" s="1"/>
  <c r="B95" i="1"/>
  <c r="B96" i="1" s="1"/>
  <c r="B97" i="1"/>
  <c r="B98" i="1" s="1"/>
  <c r="B99" i="1"/>
  <c r="B100" i="1" s="1"/>
  <c r="B101" i="1"/>
  <c r="B102" i="1" s="1"/>
  <c r="B103" i="1"/>
  <c r="B104" i="1" s="1"/>
  <c r="B105" i="1"/>
  <c r="B106" i="1" s="1"/>
  <c r="B107" i="1"/>
  <c r="B108" i="1" s="1"/>
  <c r="B109" i="1"/>
  <c r="B110" i="1" s="1"/>
  <c r="B111" i="1"/>
  <c r="B112" i="1" s="1"/>
  <c r="B113" i="1"/>
  <c r="B114" i="1" s="1"/>
  <c r="B115" i="1"/>
  <c r="B116" i="1" s="1"/>
  <c r="B117" i="1"/>
  <c r="B118" i="1" s="1"/>
  <c r="B119" i="1"/>
  <c r="B120" i="1" s="1"/>
  <c r="B121" i="1"/>
  <c r="B122" i="1" s="1"/>
  <c r="B123" i="1"/>
  <c r="B124" i="1" s="1"/>
  <c r="B125" i="1"/>
  <c r="B126" i="1" s="1"/>
  <c r="B127" i="1"/>
  <c r="B128" i="1" s="1"/>
  <c r="B129" i="1"/>
  <c r="B130" i="1" s="1"/>
  <c r="B131" i="1"/>
  <c r="B132" i="1" s="1"/>
  <c r="B133" i="1"/>
  <c r="B134" i="1" s="1"/>
  <c r="B135" i="1"/>
  <c r="B136" i="1" s="1"/>
  <c r="B137" i="1"/>
  <c r="B138" i="1" s="1"/>
  <c r="B139" i="1"/>
  <c r="B140" i="1" s="1"/>
  <c r="B141" i="1"/>
  <c r="B142" i="1" s="1"/>
  <c r="B143" i="1"/>
  <c r="B144" i="1" s="1"/>
  <c r="B145" i="1"/>
  <c r="B146" i="1" s="1"/>
  <c r="B147" i="1"/>
  <c r="B148" i="1" s="1"/>
  <c r="G7" i="1" l="1"/>
  <c r="G13" i="1"/>
  <c r="CZ14" i="1"/>
  <c r="CZ8" i="1" l="1"/>
  <c r="B7" i="1"/>
  <c r="B8" i="1" s="1"/>
  <c r="CZ18" i="1" l="1"/>
  <c r="E11" i="1"/>
  <c r="F11" i="1" s="1"/>
  <c r="D236" i="1"/>
  <c r="D7" i="1"/>
  <c r="CZ7" i="1" s="1"/>
  <c r="D13" i="1"/>
  <c r="CZ13" i="1" s="1"/>
  <c r="CZ17" i="1"/>
  <c r="F17" i="1"/>
  <c r="CZ19" i="1"/>
  <c r="F19" i="1"/>
  <c r="E23" i="1" l="1"/>
  <c r="F23" i="1" s="1"/>
  <c r="E15" i="1"/>
  <c r="F15" i="1" s="1"/>
  <c r="E21" i="1" s="1"/>
  <c r="F21" i="1" s="1"/>
  <c r="F27" i="1"/>
  <c r="D25" i="1"/>
  <c r="E29" i="1" l="1"/>
  <c r="F29" i="1" s="1"/>
  <c r="F151" i="1"/>
  <c r="D151" i="1"/>
  <c r="F33" i="1"/>
  <c r="E35" i="1" s="1"/>
  <c r="F35" i="1" s="1"/>
  <c r="E37" i="1" s="1"/>
  <c r="F37" i="1" s="1"/>
  <c r="D31" i="1"/>
  <c r="F41" i="1"/>
  <c r="E43" i="1" s="1"/>
  <c r="F43" i="1" s="1"/>
  <c r="E45" i="1" s="1"/>
  <c r="F45" i="1" s="1"/>
  <c r="D39" i="1"/>
  <c r="E49" i="1"/>
  <c r="F49" i="1" s="1"/>
  <c r="E51" i="1" s="1"/>
  <c r="F51" i="1" s="1"/>
  <c r="E53" i="1" s="1"/>
  <c r="F53" i="1" s="1"/>
  <c r="D47" i="1"/>
  <c r="E57" i="1"/>
  <c r="F57" i="1" s="1"/>
  <c r="D55" i="1"/>
  <c r="C3" i="1" l="1"/>
  <c r="D240" i="1"/>
  <c r="F240" i="1"/>
  <c r="D241" i="1"/>
  <c r="F241" i="1"/>
  <c r="F237" i="1"/>
  <c r="D237" i="1"/>
  <c r="F239" i="1"/>
  <c r="D239" i="1"/>
  <c r="G194" i="1"/>
  <c r="G193" i="1"/>
  <c r="F238" i="1"/>
  <c r="D238" i="1"/>
  <c r="F242" i="1"/>
  <c r="D242" i="1"/>
</calcChain>
</file>

<file path=xl/sharedStrings.xml><?xml version="1.0" encoding="utf-8"?>
<sst xmlns="http://schemas.openxmlformats.org/spreadsheetml/2006/main" count="40" uniqueCount="31">
  <si>
    <t>N°</t>
  </si>
  <si>
    <t>Entier</t>
  </si>
  <si>
    <t>Nom</t>
  </si>
  <si>
    <t>Durée</t>
  </si>
  <si>
    <t>Etape requise</t>
  </si>
  <si>
    <t>Progres</t>
  </si>
  <si>
    <t>Date</t>
  </si>
  <si>
    <t>Début</t>
  </si>
  <si>
    <t>Fin</t>
  </si>
  <si>
    <t>Date limite</t>
  </si>
  <si>
    <t>Organisation</t>
  </si>
  <si>
    <t>Cahier des charges</t>
  </si>
  <si>
    <t>Gantt</t>
  </si>
  <si>
    <t>Ligne</t>
  </si>
  <si>
    <t>Choix des solutions</t>
  </si>
  <si>
    <t>Communication</t>
  </si>
  <si>
    <t>Force</t>
  </si>
  <si>
    <t>Traitement</t>
  </si>
  <si>
    <t>Structure</t>
  </si>
  <si>
    <t>Vacances</t>
  </si>
  <si>
    <t>Conception</t>
  </si>
  <si>
    <t>Impression</t>
  </si>
  <si>
    <t>Achat</t>
  </si>
  <si>
    <t>Essai</t>
  </si>
  <si>
    <t>Prototypage</t>
  </si>
  <si>
    <t>Cadence/orientation</t>
  </si>
  <si>
    <t>structure: CAO</t>
  </si>
  <si>
    <t>Montage</t>
  </si>
  <si>
    <t>Programmation</t>
  </si>
  <si>
    <t>Traitement/communication</t>
  </si>
  <si>
    <t>Marge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</si>
</sst>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ck">
        <color theme="5" tint="-0.2499465926084170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theme="5" tint="-0.2499465926084170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13">
    <dxf>
      <fill>
        <patternFill>
          <bgColor rgb="FF92D05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3" tint="0.39994506668294322"/>
        </patternFill>
      </fill>
    </dxf>
    <dxf>
      <fill>
        <patternFill>
          <bgColor theme="4" tint="-0.24994659260841701"/>
        </patternFill>
      </fill>
    </dxf>
    <dxf>
      <fill>
        <patternFill patternType="none">
          <bgColor auto="1"/>
        </patternFill>
      </fill>
      <border>
        <left style="thin">
          <color rgb="FFFF0000"/>
        </left>
        <right/>
        <vertical/>
        <horizontal/>
      </border>
    </dxf>
    <dxf>
      <fill>
        <patternFill>
          <bgColor rgb="FF7030A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 patternType="solid">
          <bgColor rgb="FFFFFF00"/>
        </patternFill>
      </fill>
      <border>
        <left style="thin">
          <color rgb="FFFF0000"/>
        </left>
        <right/>
        <vertical/>
        <horizontal/>
      </border>
    </dxf>
  </dxfs>
  <tableStyles count="0" defaultTableStyle="TableStyleMedium2" defaultPivotStyle="PivotStyleLight16"/>
  <colors>
    <mruColors>
      <color rgb="FFFFFFFF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0</xdr:row>
      <xdr:rowOff>66675</xdr:rowOff>
    </xdr:from>
    <xdr:to>
      <xdr:col>9</xdr:col>
      <xdr:colOff>314325</xdr:colOff>
      <xdr:row>1</xdr:row>
      <xdr:rowOff>161925</xdr:rowOff>
    </xdr:to>
    <xdr:sp macro="[0]!Feuil1.etap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7C7D5F7-4802-4E44-A3C5-15820A9F7DEB}"/>
            </a:ext>
          </a:extLst>
        </xdr:cNvPr>
        <xdr:cNvSpPr/>
      </xdr:nvSpPr>
      <xdr:spPr>
        <a:xfrm>
          <a:off x="4705350" y="66675"/>
          <a:ext cx="95250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solidFill>
                <a:sysClr val="windowText" lastClr="000000"/>
              </a:solidFill>
            </a:rPr>
            <a:t>+</a:t>
          </a:r>
          <a:r>
            <a:rPr lang="fr-FR" sz="1600" b="1" baseline="0">
              <a:solidFill>
                <a:sysClr val="windowText" lastClr="000000"/>
              </a:solidFill>
            </a:rPr>
            <a:t> Etape</a:t>
          </a:r>
          <a:endParaRPr lang="fr-FR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28575</xdr:colOff>
      <xdr:row>2</xdr:row>
      <xdr:rowOff>57150</xdr:rowOff>
    </xdr:from>
    <xdr:to>
      <xdr:col>10</xdr:col>
      <xdr:colOff>247650</xdr:colOff>
      <xdr:row>3</xdr:row>
      <xdr:rowOff>152400</xdr:rowOff>
    </xdr:to>
    <xdr:sp macro="[0]!Feuil1.actua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4ACEAF5-356E-4C56-BA4A-ADB08DBA0935}"/>
            </a:ext>
          </a:extLst>
        </xdr:cNvPr>
        <xdr:cNvSpPr/>
      </xdr:nvSpPr>
      <xdr:spPr>
        <a:xfrm>
          <a:off x="4686300" y="438150"/>
          <a:ext cx="124777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ysClr val="windowText" lastClr="000000"/>
              </a:solidFill>
            </a:rPr>
            <a:t>Actualisé</a:t>
          </a:r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87475</xdr:colOff>
      <xdr:row>2</xdr:row>
      <xdr:rowOff>9719</xdr:rowOff>
    </xdr:from>
    <xdr:to>
      <xdr:col>4</xdr:col>
      <xdr:colOff>427653</xdr:colOff>
      <xdr:row>3</xdr:row>
      <xdr:rowOff>174366</xdr:rowOff>
    </xdr:to>
    <xdr:sp macro="[0]!Feuil1.plus" textlink="">
      <xdr:nvSpPr>
        <xdr:cNvPr id="5" name="Signe Plus 4">
          <a:extLst>
            <a:ext uri="{FF2B5EF4-FFF2-40B4-BE49-F238E27FC236}">
              <a16:creationId xmlns:a16="http://schemas.microsoft.com/office/drawing/2014/main" id="{10419B35-473E-45F9-A608-885459E95476}"/>
            </a:ext>
          </a:extLst>
        </xdr:cNvPr>
        <xdr:cNvSpPr/>
      </xdr:nvSpPr>
      <xdr:spPr>
        <a:xfrm>
          <a:off x="2381251" y="398495"/>
          <a:ext cx="340178" cy="359034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664612</xdr:colOff>
      <xdr:row>2</xdr:row>
      <xdr:rowOff>37322</xdr:rowOff>
    </xdr:from>
    <xdr:to>
      <xdr:col>5</xdr:col>
      <xdr:colOff>301301</xdr:colOff>
      <xdr:row>3</xdr:row>
      <xdr:rowOff>155510</xdr:rowOff>
    </xdr:to>
    <xdr:sp macro="[0]!Feuil1.moins" textlink="">
      <xdr:nvSpPr>
        <xdr:cNvPr id="6" name="Signe Moins 5">
          <a:extLst>
            <a:ext uri="{FF2B5EF4-FFF2-40B4-BE49-F238E27FC236}">
              <a16:creationId xmlns:a16="http://schemas.microsoft.com/office/drawing/2014/main" id="{994F08E6-7E61-48A2-86B0-B7CF98B5F50E}"/>
            </a:ext>
          </a:extLst>
        </xdr:cNvPr>
        <xdr:cNvSpPr/>
      </xdr:nvSpPr>
      <xdr:spPr>
        <a:xfrm>
          <a:off x="2958388" y="426098"/>
          <a:ext cx="433678" cy="31257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330459</xdr:colOff>
      <xdr:row>0</xdr:row>
      <xdr:rowOff>38876</xdr:rowOff>
    </xdr:from>
    <xdr:to>
      <xdr:col>5</xdr:col>
      <xdr:colOff>428882</xdr:colOff>
      <xdr:row>2</xdr:row>
      <xdr:rowOff>49823</xdr:rowOff>
    </xdr:to>
    <xdr:sp macro="[0]!IMPRIM" textlink="">
      <xdr:nvSpPr>
        <xdr:cNvPr id="4" name="Légende : quatre flèches 3">
          <a:extLst>
            <a:ext uri="{FF2B5EF4-FFF2-40B4-BE49-F238E27FC236}">
              <a16:creationId xmlns:a16="http://schemas.microsoft.com/office/drawing/2014/main" id="{2E4C4DD1-B5D7-47D1-BF70-E3BFDA99D009}"/>
            </a:ext>
          </a:extLst>
        </xdr:cNvPr>
        <xdr:cNvSpPr/>
      </xdr:nvSpPr>
      <xdr:spPr>
        <a:xfrm>
          <a:off x="2274337" y="38876"/>
          <a:ext cx="1245310" cy="399723"/>
        </a:xfrm>
        <a:prstGeom prst="quad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 filterMode="1">
    <pageSetUpPr fitToPage="1"/>
  </sheetPr>
  <dimension ref="A1:DB287"/>
  <sheetViews>
    <sheetView tabSelected="1" zoomScale="98" zoomScaleNormal="98" workbookViewId="0">
      <pane xSplit="11" ySplit="6" topLeftCell="L7" activePane="bottomRight" state="frozen"/>
      <selection pane="topRight" activeCell="L1" sqref="L1"/>
      <selection pane="bottomLeft" activeCell="A7" sqref="A7"/>
      <selection pane="bottomRight" activeCell="V10" sqref="V10"/>
    </sheetView>
  </sheetViews>
  <sheetFormatPr baseColWidth="10" defaultColWidth="9.140625" defaultRowHeight="15" x14ac:dyDescent="0.25"/>
  <cols>
    <col min="1" max="1" width="9.140625" style="1" customWidth="1"/>
    <col min="2" max="2" width="2" style="1" customWidth="1"/>
    <col min="3" max="3" width="18" style="24" customWidth="1"/>
    <col min="4" max="4" width="5.28515625" style="1" customWidth="1"/>
    <col min="5" max="5" width="12" style="2" customWidth="1"/>
    <col min="6" max="6" width="7" style="2" customWidth="1"/>
    <col min="7" max="7" width="9.140625" style="1" customWidth="1"/>
    <col min="8" max="11" width="5.140625" style="1" customWidth="1"/>
    <col min="12" max="102" width="2.5703125" style="1" customWidth="1"/>
    <col min="103" max="103" width="9.140625" style="1"/>
    <col min="104" max="104" width="12.5703125" style="3" customWidth="1"/>
    <col min="105" max="105" width="13.42578125" style="1" customWidth="1"/>
    <col min="106" max="16384" width="9.140625" style="1"/>
  </cols>
  <sheetData>
    <row r="1" spans="1:106" x14ac:dyDescent="0.25">
      <c r="A1" s="1" t="s">
        <v>6</v>
      </c>
      <c r="C1" s="23">
        <f ca="1">TODAY()</f>
        <v>43540</v>
      </c>
    </row>
    <row r="2" spans="1:106" x14ac:dyDescent="0.25">
      <c r="A2" s="1" t="s">
        <v>7</v>
      </c>
      <c r="C2" s="23">
        <v>43535</v>
      </c>
    </row>
    <row r="3" spans="1:106" x14ac:dyDescent="0.25">
      <c r="A3" s="1" t="s">
        <v>8</v>
      </c>
      <c r="C3" s="23">
        <f>MAX(F7:F109)</f>
        <v>43622</v>
      </c>
      <c r="M3" s="2"/>
    </row>
    <row r="4" spans="1:106" x14ac:dyDescent="0.25">
      <c r="AM4" s="32" t="s">
        <v>19</v>
      </c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</row>
    <row r="5" spans="1:106" x14ac:dyDescent="0.25">
      <c r="A5" s="15"/>
      <c r="B5" s="15"/>
      <c r="C5" s="25"/>
      <c r="D5" s="15"/>
      <c r="E5" s="16"/>
      <c r="F5" s="16"/>
      <c r="G5" s="15"/>
      <c r="H5" s="31" t="s">
        <v>4</v>
      </c>
      <c r="I5" s="31"/>
      <c r="J5" s="31"/>
      <c r="K5" s="31"/>
      <c r="L5" s="30">
        <f>WEEKNUM(L6)</f>
        <v>11</v>
      </c>
      <c r="M5" s="30"/>
      <c r="N5" s="30"/>
      <c r="O5" s="30"/>
      <c r="P5" s="30"/>
      <c r="Q5" s="30"/>
      <c r="R5" s="30"/>
      <c r="S5" s="30">
        <f>WEEKNUM(S6)</f>
        <v>12</v>
      </c>
      <c r="T5" s="30"/>
      <c r="U5" s="30"/>
      <c r="V5" s="30"/>
      <c r="W5" s="30"/>
      <c r="X5" s="30"/>
      <c r="Y5" s="30"/>
      <c r="Z5" s="30">
        <f t="shared" ref="Z5" si="0">WEEKNUM(Z6)</f>
        <v>13</v>
      </c>
      <c r="AA5" s="30"/>
      <c r="AB5" s="30"/>
      <c r="AC5" s="30"/>
      <c r="AD5" s="30"/>
      <c r="AE5" s="30"/>
      <c r="AF5" s="30"/>
      <c r="AG5" s="30">
        <f t="shared" ref="AG5" si="1">WEEKNUM(AG6)</f>
        <v>14</v>
      </c>
      <c r="AH5" s="30"/>
      <c r="AI5" s="30"/>
      <c r="AJ5" s="30"/>
      <c r="AK5" s="30"/>
      <c r="AL5" s="30"/>
      <c r="AM5" s="30"/>
      <c r="AN5" s="30">
        <f t="shared" ref="AN5" si="2">WEEKNUM(AN6)</f>
        <v>15</v>
      </c>
      <c r="AO5" s="30"/>
      <c r="AP5" s="30"/>
      <c r="AQ5" s="30"/>
      <c r="AR5" s="30"/>
      <c r="AS5" s="30"/>
      <c r="AT5" s="30"/>
      <c r="AU5" s="30">
        <f t="shared" ref="AU5" si="3">WEEKNUM(AU6)</f>
        <v>16</v>
      </c>
      <c r="AV5" s="30"/>
      <c r="AW5" s="30"/>
      <c r="AX5" s="30"/>
      <c r="AY5" s="30"/>
      <c r="AZ5" s="30"/>
      <c r="BA5" s="30"/>
      <c r="BB5" s="30">
        <f t="shared" ref="BB5" si="4">WEEKNUM(BB6)</f>
        <v>17</v>
      </c>
      <c r="BC5" s="30"/>
      <c r="BD5" s="30"/>
      <c r="BE5" s="30"/>
      <c r="BF5" s="30"/>
      <c r="BG5" s="30"/>
      <c r="BH5" s="30"/>
      <c r="BI5" s="30">
        <f t="shared" ref="BI5" si="5">WEEKNUM(BI6)</f>
        <v>18</v>
      </c>
      <c r="BJ5" s="30"/>
      <c r="BK5" s="30"/>
      <c r="BL5" s="30"/>
      <c r="BM5" s="30"/>
      <c r="BN5" s="30"/>
      <c r="BO5" s="30"/>
      <c r="BP5" s="30">
        <f t="shared" ref="BP5" si="6">WEEKNUM(BP6)</f>
        <v>19</v>
      </c>
      <c r="BQ5" s="30"/>
      <c r="BR5" s="30"/>
      <c r="BS5" s="30"/>
      <c r="BT5" s="30"/>
      <c r="BU5" s="30"/>
      <c r="BV5" s="30"/>
      <c r="BW5" s="30">
        <f t="shared" ref="BW5" si="7">WEEKNUM(BW6)</f>
        <v>20</v>
      </c>
      <c r="BX5" s="30"/>
      <c r="BY5" s="30"/>
      <c r="BZ5" s="30"/>
      <c r="CA5" s="30"/>
      <c r="CB5" s="30"/>
      <c r="CC5" s="30"/>
      <c r="CD5" s="30">
        <f t="shared" ref="CD5" si="8">WEEKNUM(CD6)</f>
        <v>21</v>
      </c>
      <c r="CE5" s="30"/>
      <c r="CF5" s="30"/>
      <c r="CG5" s="30"/>
      <c r="CH5" s="30"/>
      <c r="CI5" s="30"/>
      <c r="CJ5" s="30"/>
      <c r="CK5" s="30">
        <f t="shared" ref="CK5" si="9">WEEKNUM(CK6)</f>
        <v>22</v>
      </c>
      <c r="CL5" s="30"/>
      <c r="CM5" s="30"/>
      <c r="CN5" s="30"/>
      <c r="CO5" s="30"/>
      <c r="CP5" s="30"/>
      <c r="CQ5" s="30"/>
      <c r="CR5" s="30">
        <f t="shared" ref="CR5" si="10">WEEKNUM(CR6)</f>
        <v>23</v>
      </c>
      <c r="CS5" s="30"/>
      <c r="CT5" s="30"/>
      <c r="CU5" s="30"/>
      <c r="CV5" s="30"/>
      <c r="CW5" s="30"/>
      <c r="CX5" s="30"/>
    </row>
    <row r="6" spans="1:106" s="11" customFormat="1" ht="15.75" x14ac:dyDescent="0.25">
      <c r="A6" s="17" t="s">
        <v>0</v>
      </c>
      <c r="B6" s="17" t="s">
        <v>1</v>
      </c>
      <c r="C6" s="26" t="s">
        <v>2</v>
      </c>
      <c r="D6" s="17" t="s">
        <v>3</v>
      </c>
      <c r="E6" s="18" t="s">
        <v>7</v>
      </c>
      <c r="F6" s="18" t="s">
        <v>8</v>
      </c>
      <c r="G6" s="17" t="s">
        <v>5</v>
      </c>
      <c r="H6" s="17">
        <v>1</v>
      </c>
      <c r="I6" s="17">
        <v>2</v>
      </c>
      <c r="J6" s="17">
        <v>3</v>
      </c>
      <c r="K6" s="17">
        <v>4</v>
      </c>
      <c r="L6" s="12">
        <v>43535</v>
      </c>
      <c r="M6" s="12">
        <v>43536</v>
      </c>
      <c r="N6" s="12">
        <v>43537</v>
      </c>
      <c r="O6" s="12">
        <v>43538</v>
      </c>
      <c r="P6" s="12">
        <v>43539</v>
      </c>
      <c r="Q6" s="12">
        <v>43540</v>
      </c>
      <c r="R6" s="12">
        <v>43541</v>
      </c>
      <c r="S6" s="12">
        <v>43542</v>
      </c>
      <c r="T6" s="12">
        <v>43543</v>
      </c>
      <c r="U6" s="12">
        <v>43544</v>
      </c>
      <c r="V6" s="12">
        <v>43545</v>
      </c>
      <c r="W6" s="12">
        <v>43546</v>
      </c>
      <c r="X6" s="12">
        <v>43547</v>
      </c>
      <c r="Y6" s="12">
        <v>43548</v>
      </c>
      <c r="Z6" s="12">
        <v>43549</v>
      </c>
      <c r="AA6" s="12">
        <v>43550</v>
      </c>
      <c r="AB6" s="12">
        <v>43551</v>
      </c>
      <c r="AC6" s="12">
        <v>43552</v>
      </c>
      <c r="AD6" s="12">
        <v>43553</v>
      </c>
      <c r="AE6" s="12">
        <v>43554</v>
      </c>
      <c r="AF6" s="12">
        <v>43555</v>
      </c>
      <c r="AG6" s="12">
        <v>43556</v>
      </c>
      <c r="AH6" s="12">
        <v>43557</v>
      </c>
      <c r="AI6" s="12">
        <v>43558</v>
      </c>
      <c r="AJ6" s="12">
        <v>43559</v>
      </c>
      <c r="AK6" s="12">
        <v>43560</v>
      </c>
      <c r="AL6" s="12">
        <v>43561</v>
      </c>
      <c r="AM6" s="12">
        <v>43562</v>
      </c>
      <c r="AN6" s="12">
        <v>43563</v>
      </c>
      <c r="AO6" s="12">
        <v>43564</v>
      </c>
      <c r="AP6" s="12">
        <v>43565</v>
      </c>
      <c r="AQ6" s="12">
        <v>43566</v>
      </c>
      <c r="AR6" s="12">
        <v>43567</v>
      </c>
      <c r="AS6" s="12">
        <v>43568</v>
      </c>
      <c r="AT6" s="12">
        <v>43569</v>
      </c>
      <c r="AU6" s="12">
        <v>43570</v>
      </c>
      <c r="AV6" s="12">
        <v>43571</v>
      </c>
      <c r="AW6" s="12">
        <v>43572</v>
      </c>
      <c r="AX6" s="12">
        <v>43573</v>
      </c>
      <c r="AY6" s="12">
        <v>43574</v>
      </c>
      <c r="AZ6" s="12">
        <v>43575</v>
      </c>
      <c r="BA6" s="12">
        <v>43576</v>
      </c>
      <c r="BB6" s="12">
        <v>43577</v>
      </c>
      <c r="BC6" s="12">
        <v>43578</v>
      </c>
      <c r="BD6" s="12">
        <v>43579</v>
      </c>
      <c r="BE6" s="12">
        <v>43580</v>
      </c>
      <c r="BF6" s="12">
        <v>43581</v>
      </c>
      <c r="BG6" s="12">
        <v>43582</v>
      </c>
      <c r="BH6" s="12">
        <v>43583</v>
      </c>
      <c r="BI6" s="12">
        <v>43584</v>
      </c>
      <c r="BJ6" s="12">
        <v>43585</v>
      </c>
      <c r="BK6" s="12">
        <v>43586</v>
      </c>
      <c r="BL6" s="12">
        <v>43587</v>
      </c>
      <c r="BM6" s="12">
        <v>43588</v>
      </c>
      <c r="BN6" s="12">
        <v>43589</v>
      </c>
      <c r="BO6" s="12">
        <v>43590</v>
      </c>
      <c r="BP6" s="12">
        <v>43591</v>
      </c>
      <c r="BQ6" s="12">
        <v>43592</v>
      </c>
      <c r="BR6" s="12">
        <v>43593</v>
      </c>
      <c r="BS6" s="12">
        <v>43594</v>
      </c>
      <c r="BT6" s="12">
        <v>43595</v>
      </c>
      <c r="BU6" s="12">
        <v>43596</v>
      </c>
      <c r="BV6" s="12">
        <v>43597</v>
      </c>
      <c r="BW6" s="12">
        <v>43598</v>
      </c>
      <c r="BX6" s="12">
        <v>43599</v>
      </c>
      <c r="BY6" s="12">
        <v>43600</v>
      </c>
      <c r="BZ6" s="12">
        <v>43601</v>
      </c>
      <c r="CA6" s="12">
        <v>43602</v>
      </c>
      <c r="CB6" s="12">
        <v>43603</v>
      </c>
      <c r="CC6" s="12">
        <v>43604</v>
      </c>
      <c r="CD6" s="12">
        <v>43605</v>
      </c>
      <c r="CE6" s="12">
        <v>43606</v>
      </c>
      <c r="CF6" s="12">
        <v>43607</v>
      </c>
      <c r="CG6" s="12">
        <v>43608</v>
      </c>
      <c r="CH6" s="12">
        <v>43609</v>
      </c>
      <c r="CI6" s="12">
        <v>43610</v>
      </c>
      <c r="CJ6" s="12">
        <v>43611</v>
      </c>
      <c r="CK6" s="12">
        <v>43612</v>
      </c>
      <c r="CL6" s="12">
        <v>43613</v>
      </c>
      <c r="CM6" s="12">
        <v>43614</v>
      </c>
      <c r="CN6" s="12">
        <v>43615</v>
      </c>
      <c r="CO6" s="12">
        <v>43616</v>
      </c>
      <c r="CP6" s="12">
        <v>43617</v>
      </c>
      <c r="CQ6" s="12">
        <v>43618</v>
      </c>
      <c r="CR6" s="12">
        <v>43619</v>
      </c>
      <c r="CS6" s="12">
        <v>43620</v>
      </c>
      <c r="CT6" s="12">
        <v>43621</v>
      </c>
      <c r="CU6" s="12"/>
      <c r="CZ6" s="13" t="s">
        <v>9</v>
      </c>
      <c r="DA6" s="11" t="s">
        <v>13</v>
      </c>
    </row>
    <row r="7" spans="1:106" s="20" customFormat="1" x14ac:dyDescent="0.25">
      <c r="A7" s="20">
        <v>1</v>
      </c>
      <c r="B7" s="20">
        <f t="shared" ref="B7:B75" si="11">IF(A7&lt;&gt;"",IF(A7-INT(A7)=0,1,0),"")</f>
        <v>1</v>
      </c>
      <c r="C7" s="27" t="s">
        <v>10</v>
      </c>
      <c r="D7" s="20">
        <f t="shared" ref="D7:D16" si="12">IF(A7&lt;&gt;"",_xlfn.DAYS(F7,E7),"")</f>
        <v>6</v>
      </c>
      <c r="E7" s="5">
        <v>43535</v>
      </c>
      <c r="F7" s="9">
        <v>43541</v>
      </c>
      <c r="G7" s="20">
        <f>AVERAGEIF(DB8:DB$126,A7,G8:G$126)</f>
        <v>100</v>
      </c>
      <c r="CZ7" s="21">
        <f>IFERROR(E7+INT(D7*G7/100),"")</f>
        <v>43541</v>
      </c>
      <c r="DA7" s="20">
        <f>MOD(ROW(CZ7),2)</f>
        <v>1</v>
      </c>
      <c r="DB7" s="20">
        <f>IF(A7=INT(A7),0,INT(A7))</f>
        <v>0</v>
      </c>
    </row>
    <row r="8" spans="1:106" s="4" customFormat="1" ht="6" customHeight="1" x14ac:dyDescent="0.25">
      <c r="B8" s="10">
        <f>B7</f>
        <v>1</v>
      </c>
      <c r="C8" s="28"/>
      <c r="D8" s="20" t="str">
        <f t="shared" si="12"/>
        <v/>
      </c>
      <c r="E8" s="5" t="str">
        <f t="shared" ref="E8:E16" si="13">IF(A8&lt;&gt;"",(MAX(IFERROR(1+VLOOKUP(H8,A$7:H$105,6),C$2),IFERROR(1+VLOOKUP(I8,A$7:H$105,6),C$2),IFERROR(1+VLOOKUP(J8,A$7:H$105,6),C$2),IFERROR(1+VLOOKUP(K8,A$7:H$105,6),C$2))),"")</f>
        <v/>
      </c>
      <c r="F8" s="9" t="str">
        <f t="shared" ref="F8:F70" si="14">IF(A8&lt;&gt;"",IFERROR(E8+D8-1,""),"")</f>
        <v/>
      </c>
      <c r="CZ8" s="6" t="str">
        <f t="shared" ref="CZ8:CZ19" si="15">IFERROR(E8+INT(D8*G8/100),"")</f>
        <v/>
      </c>
      <c r="DA8" s="20">
        <f t="shared" ref="DA8:DA17" si="16">MOD(ROW(CZ8),2)</f>
        <v>0</v>
      </c>
      <c r="DB8" s="20">
        <f t="shared" ref="DB8:DB17" si="17">IF(A8=INT(A8),0,INT(A8))</f>
        <v>0</v>
      </c>
    </row>
    <row r="9" spans="1:106" s="7" customFormat="1" ht="15" customHeight="1" x14ac:dyDescent="0.25">
      <c r="A9" s="7">
        <v>1.1000000000000001</v>
      </c>
      <c r="B9" s="20">
        <f t="shared" si="11"/>
        <v>0</v>
      </c>
      <c r="C9" s="29" t="s">
        <v>11</v>
      </c>
      <c r="D9" s="20">
        <v>4</v>
      </c>
      <c r="E9" s="5">
        <f t="shared" si="13"/>
        <v>43535</v>
      </c>
      <c r="F9" s="9">
        <f>IF(A9&lt;&gt;"",IFERROR(E9+D9-1,""),"")</f>
        <v>43538</v>
      </c>
      <c r="G9" s="7">
        <v>100</v>
      </c>
      <c r="CZ9" s="8"/>
      <c r="DA9" s="20">
        <f t="shared" si="16"/>
        <v>1</v>
      </c>
      <c r="DB9" s="20">
        <f t="shared" si="17"/>
        <v>1</v>
      </c>
    </row>
    <row r="10" spans="1:106" s="4" customFormat="1" ht="6" customHeight="1" x14ac:dyDescent="0.25">
      <c r="B10" s="10">
        <f t="shared" ref="B10" si="18">B9</f>
        <v>0</v>
      </c>
      <c r="C10" s="28"/>
      <c r="D10" s="20" t="str">
        <f t="shared" si="12"/>
        <v/>
      </c>
      <c r="E10" s="5" t="str">
        <f t="shared" si="13"/>
        <v/>
      </c>
      <c r="F10" s="9" t="str">
        <f t="shared" si="14"/>
        <v/>
      </c>
      <c r="CZ10" s="6"/>
      <c r="DA10" s="20">
        <f t="shared" si="16"/>
        <v>0</v>
      </c>
      <c r="DB10" s="20">
        <f t="shared" si="17"/>
        <v>0</v>
      </c>
    </row>
    <row r="11" spans="1:106" s="7" customFormat="1" ht="15" customHeight="1" x14ac:dyDescent="0.25">
      <c r="A11" s="7">
        <v>1.2</v>
      </c>
      <c r="B11" s="20">
        <f t="shared" ref="B11" si="19">IF(A11&lt;&gt;"",IF(A11-INT(A11)=0,1,0),"")</f>
        <v>0</v>
      </c>
      <c r="C11" s="29" t="s">
        <v>12</v>
      </c>
      <c r="D11" s="20">
        <v>3</v>
      </c>
      <c r="E11" s="5">
        <f t="shared" si="13"/>
        <v>43539</v>
      </c>
      <c r="F11" s="9">
        <f t="shared" si="14"/>
        <v>43541</v>
      </c>
      <c r="G11" s="7">
        <v>100</v>
      </c>
      <c r="H11" s="7">
        <v>1.1000000000000001</v>
      </c>
      <c r="CZ11" s="8"/>
      <c r="DA11" s="20">
        <f t="shared" si="16"/>
        <v>1</v>
      </c>
      <c r="DB11" s="20">
        <f t="shared" si="17"/>
        <v>1</v>
      </c>
    </row>
    <row r="12" spans="1:106" s="4" customFormat="1" ht="6" customHeight="1" x14ac:dyDescent="0.25">
      <c r="B12" s="10">
        <f t="shared" ref="B12" si="20">B11</f>
        <v>0</v>
      </c>
      <c r="C12" s="28"/>
      <c r="D12" s="20" t="str">
        <f t="shared" si="12"/>
        <v/>
      </c>
      <c r="E12" s="5" t="str">
        <f t="shared" si="13"/>
        <v/>
      </c>
      <c r="F12" s="9" t="str">
        <f t="shared" si="14"/>
        <v/>
      </c>
      <c r="CZ12" s="6"/>
      <c r="DA12" s="20">
        <f t="shared" si="16"/>
        <v>0</v>
      </c>
      <c r="DB12" s="20">
        <f t="shared" si="17"/>
        <v>0</v>
      </c>
    </row>
    <row r="13" spans="1:106" s="20" customFormat="1" ht="30" x14ac:dyDescent="0.25">
      <c r="A13" s="20">
        <v>2</v>
      </c>
      <c r="B13" s="20">
        <f t="shared" si="11"/>
        <v>1</v>
      </c>
      <c r="C13" s="27" t="s">
        <v>14</v>
      </c>
      <c r="D13" s="20">
        <f t="shared" si="12"/>
        <v>7</v>
      </c>
      <c r="E13" s="5">
        <v>43542</v>
      </c>
      <c r="F13" s="9">
        <v>43549</v>
      </c>
      <c r="G13" s="20">
        <f>AVERAGEIF(DB14:DB$126,A13,G14:G$126)</f>
        <v>20</v>
      </c>
      <c r="CZ13" s="21">
        <f t="shared" si="15"/>
        <v>43543</v>
      </c>
      <c r="DA13" s="20">
        <f t="shared" si="16"/>
        <v>1</v>
      </c>
      <c r="DB13" s="20">
        <f t="shared" si="17"/>
        <v>0</v>
      </c>
    </row>
    <row r="14" spans="1:106" s="4" customFormat="1" ht="6" customHeight="1" x14ac:dyDescent="0.25">
      <c r="B14" s="10">
        <f t="shared" ref="B14" si="21">B13</f>
        <v>1</v>
      </c>
      <c r="C14" s="28"/>
      <c r="D14" s="20" t="str">
        <f t="shared" si="12"/>
        <v/>
      </c>
      <c r="E14" s="5" t="str">
        <f t="shared" si="13"/>
        <v/>
      </c>
      <c r="F14" s="9" t="str">
        <f t="shared" si="14"/>
        <v/>
      </c>
      <c r="CZ14" s="6" t="str">
        <f t="shared" si="15"/>
        <v/>
      </c>
      <c r="DA14" s="20">
        <f t="shared" si="16"/>
        <v>0</v>
      </c>
      <c r="DB14" s="20">
        <f t="shared" si="17"/>
        <v>0</v>
      </c>
    </row>
    <row r="15" spans="1:106" s="7" customFormat="1" ht="15" customHeight="1" x14ac:dyDescent="0.25">
      <c r="A15" s="7">
        <v>2.1</v>
      </c>
      <c r="B15" s="20">
        <f t="shared" ref="B15" si="22">IF(A15&lt;&gt;"",IF(A15-INT(A15)=0,1,0),"")</f>
        <v>0</v>
      </c>
      <c r="C15" s="29" t="s">
        <v>15</v>
      </c>
      <c r="D15" s="20">
        <v>2</v>
      </c>
      <c r="E15" s="5">
        <f t="shared" si="13"/>
        <v>43546</v>
      </c>
      <c r="F15" s="9">
        <f t="shared" si="14"/>
        <v>43547</v>
      </c>
      <c r="G15" s="7">
        <v>0</v>
      </c>
      <c r="H15" s="7">
        <v>2.2999999999999998</v>
      </c>
      <c r="I15" s="7">
        <v>2.2000000000000002</v>
      </c>
      <c r="J15" s="7">
        <v>1</v>
      </c>
      <c r="CZ15" s="8"/>
      <c r="DA15" s="20">
        <f t="shared" si="16"/>
        <v>1</v>
      </c>
      <c r="DB15" s="20">
        <f t="shared" si="17"/>
        <v>2</v>
      </c>
    </row>
    <row r="16" spans="1:106" s="4" customFormat="1" ht="6" customHeight="1" x14ac:dyDescent="0.25">
      <c r="B16" s="10">
        <f t="shared" ref="B16" si="23">B15</f>
        <v>0</v>
      </c>
      <c r="C16" s="28"/>
      <c r="D16" s="20" t="str">
        <f t="shared" si="12"/>
        <v/>
      </c>
      <c r="E16" s="5" t="str">
        <f t="shared" si="13"/>
        <v/>
      </c>
      <c r="F16" s="9" t="str">
        <f t="shared" si="14"/>
        <v/>
      </c>
      <c r="CZ16" s="6"/>
      <c r="DA16" s="20">
        <f t="shared" si="16"/>
        <v>0</v>
      </c>
      <c r="DB16" s="20">
        <f t="shared" si="17"/>
        <v>0</v>
      </c>
    </row>
    <row r="17" spans="1:106" s="20" customFormat="1" ht="30" x14ac:dyDescent="0.25">
      <c r="A17" s="20">
        <v>2.2000000000000002</v>
      </c>
      <c r="B17" s="20">
        <f t="shared" si="11"/>
        <v>0</v>
      </c>
      <c r="C17" s="27" t="s">
        <v>25</v>
      </c>
      <c r="D17" s="20">
        <v>3</v>
      </c>
      <c r="E17" s="5">
        <f t="shared" ref="E17" si="24">IF(A17&lt;&gt;"",(MAX(IFERROR(1+VLOOKUP(H17,A$7:H$105,6),C$2),IFERROR(1+VLOOKUP(I17,A$7:H$105,6),C$2),IFERROR(1+VLOOKUP(J17,A$7:H$105,6),C$2),IFERROR(1+VLOOKUP(K17,A$7:H$105,6),C$2))),"")</f>
        <v>43542</v>
      </c>
      <c r="F17" s="9">
        <f t="shared" si="14"/>
        <v>43544</v>
      </c>
      <c r="G17" s="20">
        <v>0</v>
      </c>
      <c r="H17" s="20">
        <v>1</v>
      </c>
      <c r="CZ17" s="21">
        <f t="shared" si="15"/>
        <v>43542</v>
      </c>
      <c r="DA17" s="20">
        <f t="shared" si="16"/>
        <v>1</v>
      </c>
      <c r="DB17" s="20">
        <f t="shared" si="17"/>
        <v>2</v>
      </c>
    </row>
    <row r="18" spans="1:106" s="20" customFormat="1" ht="6" customHeight="1" x14ac:dyDescent="0.25">
      <c r="B18" s="10">
        <f t="shared" ref="B18" si="25">B17</f>
        <v>0</v>
      </c>
      <c r="C18" s="27"/>
      <c r="D18" s="20" t="str">
        <f t="shared" ref="D18:D81" si="26">IF(A18&lt;&gt;"",_xlfn.DAYS(F18,E18),"")</f>
        <v/>
      </c>
      <c r="E18" s="5" t="str">
        <f t="shared" ref="E18:E81" si="27">IF(A18&lt;&gt;"",(MAX(IFERROR(1+VLOOKUP(H18,A$7:H$105,6),C$2),IFERROR(1+VLOOKUP(I18,A$7:H$105,6),C$2),IFERROR(1+VLOOKUP(J18,A$7:H$105,6),C$2),IFERROR(1+VLOOKUP(K18,A$7:H$105,6),C$2))),"")</f>
        <v/>
      </c>
      <c r="F18" s="9" t="str">
        <f t="shared" si="14"/>
        <v/>
      </c>
      <c r="CZ18" s="21" t="str">
        <f t="shared" si="15"/>
        <v/>
      </c>
      <c r="DA18" s="20">
        <f t="shared" ref="DA18:DA81" si="28">MOD(ROW(CZ18),2)</f>
        <v>0</v>
      </c>
      <c r="DB18" s="20">
        <f t="shared" ref="DB18:DB81" si="29">IF(A18=INT(A18),0,INT(A18))</f>
        <v>0</v>
      </c>
    </row>
    <row r="19" spans="1:106" s="20" customFormat="1" x14ac:dyDescent="0.25">
      <c r="A19" s="20">
        <v>2.2999999999999998</v>
      </c>
      <c r="B19" s="20">
        <f t="shared" si="11"/>
        <v>0</v>
      </c>
      <c r="C19" s="27" t="s">
        <v>16</v>
      </c>
      <c r="D19" s="20">
        <v>4</v>
      </c>
      <c r="E19" s="5">
        <f t="shared" si="27"/>
        <v>43542</v>
      </c>
      <c r="F19" s="9">
        <f t="shared" si="14"/>
        <v>43545</v>
      </c>
      <c r="G19" s="20">
        <v>0</v>
      </c>
      <c r="H19" s="20">
        <v>1</v>
      </c>
      <c r="CZ19" s="21">
        <f t="shared" si="15"/>
        <v>43542</v>
      </c>
      <c r="DA19" s="20">
        <f t="shared" si="28"/>
        <v>1</v>
      </c>
      <c r="DB19" s="20">
        <f t="shared" si="29"/>
        <v>2</v>
      </c>
    </row>
    <row r="20" spans="1:106" s="20" customFormat="1" ht="6" customHeight="1" x14ac:dyDescent="0.25">
      <c r="B20" s="10">
        <f t="shared" ref="B20" si="30">B19</f>
        <v>0</v>
      </c>
      <c r="C20" s="27"/>
      <c r="D20" s="20" t="str">
        <f t="shared" si="26"/>
        <v/>
      </c>
      <c r="E20" s="5" t="str">
        <f t="shared" si="27"/>
        <v/>
      </c>
      <c r="F20" s="9" t="str">
        <f t="shared" si="14"/>
        <v/>
      </c>
      <c r="CZ20" s="22"/>
      <c r="DA20" s="20">
        <f t="shared" si="28"/>
        <v>0</v>
      </c>
      <c r="DB20" s="20">
        <f t="shared" si="29"/>
        <v>0</v>
      </c>
    </row>
    <row r="21" spans="1:106" s="20" customFormat="1" x14ac:dyDescent="0.25">
      <c r="A21" s="20">
        <v>2.4</v>
      </c>
      <c r="B21" s="20">
        <f t="shared" si="11"/>
        <v>0</v>
      </c>
      <c r="C21" s="27" t="s">
        <v>17</v>
      </c>
      <c r="D21" s="20">
        <v>2</v>
      </c>
      <c r="E21" s="5">
        <f t="shared" si="27"/>
        <v>43548</v>
      </c>
      <c r="F21" s="9">
        <f t="shared" si="14"/>
        <v>43549</v>
      </c>
      <c r="G21" s="20">
        <v>0</v>
      </c>
      <c r="H21" s="20">
        <v>2.1</v>
      </c>
      <c r="CZ21" s="22"/>
      <c r="DA21" s="20">
        <f t="shared" si="28"/>
        <v>1</v>
      </c>
      <c r="DB21" s="20">
        <f t="shared" si="29"/>
        <v>2</v>
      </c>
    </row>
    <row r="22" spans="1:106" s="20" customFormat="1" ht="6" customHeight="1" x14ac:dyDescent="0.25">
      <c r="B22" s="10">
        <f t="shared" ref="B22" si="31">B21</f>
        <v>0</v>
      </c>
      <c r="C22" s="27"/>
      <c r="D22" s="20" t="str">
        <f t="shared" si="26"/>
        <v/>
      </c>
      <c r="E22" s="5" t="str">
        <f t="shared" si="27"/>
        <v/>
      </c>
      <c r="F22" s="9" t="str">
        <f t="shared" si="14"/>
        <v/>
      </c>
      <c r="CZ22" s="22"/>
      <c r="DA22" s="20">
        <f t="shared" si="28"/>
        <v>0</v>
      </c>
      <c r="DB22" s="20">
        <f t="shared" si="29"/>
        <v>0</v>
      </c>
    </row>
    <row r="23" spans="1:106" s="20" customFormat="1" x14ac:dyDescent="0.25">
      <c r="A23" s="20">
        <v>2.5</v>
      </c>
      <c r="B23" s="20">
        <f t="shared" si="11"/>
        <v>0</v>
      </c>
      <c r="C23" s="27" t="s">
        <v>18</v>
      </c>
      <c r="D23" s="20">
        <v>2</v>
      </c>
      <c r="E23" s="5">
        <f t="shared" si="27"/>
        <v>43546</v>
      </c>
      <c r="F23" s="9">
        <f t="shared" si="14"/>
        <v>43547</v>
      </c>
      <c r="G23" s="20">
        <v>100</v>
      </c>
      <c r="H23" s="20">
        <v>2.2000000000000002</v>
      </c>
      <c r="I23" s="20">
        <v>2.2999999999999998</v>
      </c>
      <c r="J23" s="20">
        <v>1</v>
      </c>
      <c r="CZ23" s="22"/>
      <c r="DA23" s="20">
        <f t="shared" si="28"/>
        <v>1</v>
      </c>
      <c r="DB23" s="20">
        <f t="shared" si="29"/>
        <v>2</v>
      </c>
    </row>
    <row r="24" spans="1:106" s="20" customFormat="1" ht="6" customHeight="1" x14ac:dyDescent="0.25">
      <c r="B24" s="10">
        <f t="shared" ref="B24" si="32">B23</f>
        <v>0</v>
      </c>
      <c r="C24" s="27"/>
      <c r="D24" s="20" t="str">
        <f t="shared" si="26"/>
        <v/>
      </c>
      <c r="E24" s="5" t="str">
        <f t="shared" si="27"/>
        <v/>
      </c>
      <c r="F24" s="9" t="str">
        <f t="shared" si="14"/>
        <v/>
      </c>
      <c r="CZ24" s="22"/>
      <c r="DA24" s="20">
        <f t="shared" si="28"/>
        <v>0</v>
      </c>
      <c r="DB24" s="20">
        <f t="shared" si="29"/>
        <v>0</v>
      </c>
    </row>
    <row r="25" spans="1:106" s="20" customFormat="1" x14ac:dyDescent="0.25">
      <c r="A25" s="20">
        <v>3</v>
      </c>
      <c r="B25" s="20">
        <f t="shared" si="11"/>
        <v>1</v>
      </c>
      <c r="C25" s="27" t="s">
        <v>26</v>
      </c>
      <c r="D25" s="20">
        <f t="shared" si="26"/>
        <v>13</v>
      </c>
      <c r="E25" s="5">
        <v>43550</v>
      </c>
      <c r="F25" s="9">
        <v>43563</v>
      </c>
      <c r="G25" s="20">
        <f>AVERAGEIF(DB26:DB$126,A25,G26:G$126)</f>
        <v>0</v>
      </c>
      <c r="CZ25" s="22"/>
      <c r="DA25" s="20">
        <f t="shared" si="28"/>
        <v>1</v>
      </c>
      <c r="DB25" s="20">
        <f t="shared" si="29"/>
        <v>0</v>
      </c>
    </row>
    <row r="26" spans="1:106" s="20" customFormat="1" ht="6" customHeight="1" x14ac:dyDescent="0.25">
      <c r="B26" s="10">
        <f t="shared" ref="B26" si="33">B25</f>
        <v>1</v>
      </c>
      <c r="C26" s="27"/>
      <c r="D26" s="20" t="str">
        <f t="shared" si="26"/>
        <v/>
      </c>
      <c r="E26" s="5" t="str">
        <f t="shared" si="27"/>
        <v/>
      </c>
      <c r="F26" s="9" t="str">
        <f t="shared" si="14"/>
        <v/>
      </c>
      <c r="CZ26" s="22"/>
      <c r="DA26" s="20">
        <f t="shared" si="28"/>
        <v>0</v>
      </c>
      <c r="DB26" s="20">
        <f t="shared" si="29"/>
        <v>0</v>
      </c>
    </row>
    <row r="27" spans="1:106" s="20" customFormat="1" x14ac:dyDescent="0.25">
      <c r="A27" s="20">
        <v>3.1</v>
      </c>
      <c r="B27" s="20">
        <f t="shared" si="11"/>
        <v>0</v>
      </c>
      <c r="C27" s="27" t="s">
        <v>20</v>
      </c>
      <c r="D27" s="20">
        <v>7</v>
      </c>
      <c r="E27" s="5">
        <f t="shared" si="27"/>
        <v>43550</v>
      </c>
      <c r="F27" s="9">
        <f t="shared" si="14"/>
        <v>43556</v>
      </c>
      <c r="G27" s="20">
        <v>0</v>
      </c>
      <c r="H27" s="20">
        <v>2</v>
      </c>
      <c r="CZ27" s="22"/>
      <c r="DA27" s="20">
        <f t="shared" si="28"/>
        <v>1</v>
      </c>
      <c r="DB27" s="20">
        <f t="shared" si="29"/>
        <v>3</v>
      </c>
    </row>
    <row r="28" spans="1:106" s="20" customFormat="1" ht="6" customHeight="1" x14ac:dyDescent="0.25">
      <c r="B28" s="10">
        <f t="shared" ref="B28" si="34">B27</f>
        <v>0</v>
      </c>
      <c r="C28" s="27"/>
      <c r="D28" s="20" t="str">
        <f t="shared" si="26"/>
        <v/>
      </c>
      <c r="E28" s="5" t="str">
        <f t="shared" si="27"/>
        <v/>
      </c>
      <c r="F28" s="9" t="str">
        <f t="shared" si="14"/>
        <v/>
      </c>
      <c r="CZ28" s="22"/>
      <c r="DA28" s="20">
        <f t="shared" si="28"/>
        <v>0</v>
      </c>
      <c r="DB28" s="20">
        <f t="shared" si="29"/>
        <v>0</v>
      </c>
    </row>
    <row r="29" spans="1:106" s="20" customFormat="1" x14ac:dyDescent="0.25">
      <c r="A29" s="20">
        <v>3.2</v>
      </c>
      <c r="B29" s="20">
        <f t="shared" si="11"/>
        <v>0</v>
      </c>
      <c r="C29" s="27" t="s">
        <v>21</v>
      </c>
      <c r="D29" s="20">
        <v>7</v>
      </c>
      <c r="E29" s="5">
        <f t="shared" si="27"/>
        <v>43557</v>
      </c>
      <c r="F29" s="9">
        <f t="shared" si="14"/>
        <v>43563</v>
      </c>
      <c r="G29" s="20">
        <v>0</v>
      </c>
      <c r="H29" s="20">
        <v>3.1</v>
      </c>
      <c r="CZ29" s="22"/>
      <c r="DA29" s="20">
        <f t="shared" si="28"/>
        <v>1</v>
      </c>
      <c r="DB29" s="20">
        <f t="shared" si="29"/>
        <v>3</v>
      </c>
    </row>
    <row r="30" spans="1:106" s="20" customFormat="1" ht="6" customHeight="1" x14ac:dyDescent="0.25">
      <c r="B30" s="10">
        <f t="shared" ref="B30" si="35">B29</f>
        <v>0</v>
      </c>
      <c r="C30" s="27"/>
      <c r="D30" s="20" t="str">
        <f t="shared" si="26"/>
        <v/>
      </c>
      <c r="E30" s="5" t="str">
        <f t="shared" si="27"/>
        <v/>
      </c>
      <c r="F30" s="9" t="str">
        <f t="shared" si="14"/>
        <v/>
      </c>
      <c r="CZ30" s="22"/>
      <c r="DA30" s="20">
        <f t="shared" si="28"/>
        <v>0</v>
      </c>
      <c r="DB30" s="20">
        <f t="shared" si="29"/>
        <v>0</v>
      </c>
    </row>
    <row r="31" spans="1:106" s="20" customFormat="1" x14ac:dyDescent="0.25">
      <c r="A31" s="20">
        <v>4</v>
      </c>
      <c r="B31" s="20">
        <f t="shared" si="11"/>
        <v>1</v>
      </c>
      <c r="C31" s="27" t="s">
        <v>16</v>
      </c>
      <c r="D31" s="20">
        <f t="shared" si="26"/>
        <v>27</v>
      </c>
      <c r="E31" s="5">
        <v>43550</v>
      </c>
      <c r="F31" s="9">
        <v>43577</v>
      </c>
      <c r="G31" s="20">
        <f>AVERAGEIF(DB32:DB$126,A31,G32:G$126)</f>
        <v>0</v>
      </c>
      <c r="CZ31" s="22"/>
      <c r="DA31" s="20">
        <f t="shared" si="28"/>
        <v>1</v>
      </c>
      <c r="DB31" s="20">
        <f t="shared" si="29"/>
        <v>0</v>
      </c>
    </row>
    <row r="32" spans="1:106" s="20" customFormat="1" ht="6" customHeight="1" x14ac:dyDescent="0.25">
      <c r="B32" s="10">
        <f t="shared" ref="B32" si="36">B31</f>
        <v>1</v>
      </c>
      <c r="C32" s="27"/>
      <c r="D32" s="20" t="str">
        <f t="shared" si="26"/>
        <v/>
      </c>
      <c r="E32" s="5" t="str">
        <f t="shared" si="27"/>
        <v/>
      </c>
      <c r="F32" s="9" t="str">
        <f t="shared" si="14"/>
        <v/>
      </c>
      <c r="CZ32" s="22"/>
      <c r="DA32" s="20">
        <f t="shared" si="28"/>
        <v>0</v>
      </c>
      <c r="DB32" s="20">
        <f t="shared" si="29"/>
        <v>0</v>
      </c>
    </row>
    <row r="33" spans="1:106" s="20" customFormat="1" x14ac:dyDescent="0.25">
      <c r="A33" s="20">
        <v>4.0999999999999996</v>
      </c>
      <c r="B33" s="20">
        <f t="shared" si="11"/>
        <v>0</v>
      </c>
      <c r="C33" s="27" t="s">
        <v>22</v>
      </c>
      <c r="D33" s="20">
        <v>7</v>
      </c>
      <c r="E33" s="5">
        <f t="shared" si="27"/>
        <v>43550</v>
      </c>
      <c r="F33" s="9">
        <f t="shared" si="14"/>
        <v>43556</v>
      </c>
      <c r="G33" s="20">
        <v>0</v>
      </c>
      <c r="H33" s="20">
        <v>2</v>
      </c>
      <c r="CZ33" s="22"/>
      <c r="DA33" s="20">
        <f t="shared" si="28"/>
        <v>1</v>
      </c>
      <c r="DB33" s="20">
        <f t="shared" si="29"/>
        <v>4</v>
      </c>
    </row>
    <row r="34" spans="1:106" s="20" customFormat="1" ht="6" customHeight="1" x14ac:dyDescent="0.25">
      <c r="B34" s="10">
        <f t="shared" ref="B34" si="37">B33</f>
        <v>0</v>
      </c>
      <c r="C34" s="27"/>
      <c r="D34" s="20" t="str">
        <f t="shared" si="26"/>
        <v/>
      </c>
      <c r="E34" s="5" t="str">
        <f t="shared" si="27"/>
        <v/>
      </c>
      <c r="F34" s="9" t="str">
        <f t="shared" si="14"/>
        <v/>
      </c>
      <c r="CZ34" s="22"/>
      <c r="DA34" s="20">
        <f t="shared" si="28"/>
        <v>0</v>
      </c>
      <c r="DB34" s="20">
        <f t="shared" si="29"/>
        <v>0</v>
      </c>
    </row>
    <row r="35" spans="1:106" s="20" customFormat="1" x14ac:dyDescent="0.25">
      <c r="A35" s="20">
        <v>4.2</v>
      </c>
      <c r="B35" s="20">
        <f t="shared" si="11"/>
        <v>0</v>
      </c>
      <c r="C35" s="27" t="s">
        <v>23</v>
      </c>
      <c r="D35" s="20">
        <v>14</v>
      </c>
      <c r="E35" s="5">
        <f t="shared" si="27"/>
        <v>43557</v>
      </c>
      <c r="F35" s="9">
        <f t="shared" si="14"/>
        <v>43570</v>
      </c>
      <c r="G35" s="20">
        <v>0</v>
      </c>
      <c r="H35" s="20">
        <v>4.0999999999999996</v>
      </c>
      <c r="CZ35" s="22"/>
      <c r="DA35" s="20">
        <f t="shared" si="28"/>
        <v>1</v>
      </c>
      <c r="DB35" s="20">
        <f t="shared" si="29"/>
        <v>4</v>
      </c>
    </row>
    <row r="36" spans="1:106" s="20" customFormat="1" ht="6" customHeight="1" x14ac:dyDescent="0.25">
      <c r="B36" s="10">
        <f t="shared" ref="B36" si="38">B35</f>
        <v>0</v>
      </c>
      <c r="C36" s="27"/>
      <c r="D36" s="20" t="str">
        <f t="shared" si="26"/>
        <v/>
      </c>
      <c r="E36" s="5" t="str">
        <f t="shared" si="27"/>
        <v/>
      </c>
      <c r="F36" s="9" t="str">
        <f t="shared" si="14"/>
        <v/>
      </c>
      <c r="CZ36" s="22"/>
      <c r="DA36" s="20">
        <f t="shared" si="28"/>
        <v>0</v>
      </c>
      <c r="DB36" s="20">
        <f t="shared" si="29"/>
        <v>0</v>
      </c>
    </row>
    <row r="37" spans="1:106" s="20" customFormat="1" x14ac:dyDescent="0.25">
      <c r="A37" s="20">
        <v>4.3</v>
      </c>
      <c r="B37" s="20">
        <f t="shared" si="11"/>
        <v>0</v>
      </c>
      <c r="C37" s="27" t="s">
        <v>24</v>
      </c>
      <c r="D37" s="20">
        <v>7</v>
      </c>
      <c r="E37" s="5">
        <f t="shared" si="27"/>
        <v>43571</v>
      </c>
      <c r="F37" s="9">
        <f t="shared" si="14"/>
        <v>43577</v>
      </c>
      <c r="G37" s="20">
        <v>0</v>
      </c>
      <c r="H37" s="20">
        <v>4.2</v>
      </c>
      <c r="CZ37" s="22"/>
      <c r="DA37" s="20">
        <f t="shared" si="28"/>
        <v>1</v>
      </c>
      <c r="DB37" s="20">
        <f t="shared" si="29"/>
        <v>4</v>
      </c>
    </row>
    <row r="38" spans="1:106" s="20" customFormat="1" ht="6" customHeight="1" x14ac:dyDescent="0.25">
      <c r="B38" s="10">
        <f t="shared" ref="B38" si="39">B37</f>
        <v>0</v>
      </c>
      <c r="C38" s="27"/>
      <c r="D38" s="20" t="str">
        <f t="shared" si="26"/>
        <v/>
      </c>
      <c r="E38" s="5" t="str">
        <f t="shared" si="27"/>
        <v/>
      </c>
      <c r="F38" s="9" t="str">
        <f t="shared" si="14"/>
        <v/>
      </c>
      <c r="CZ38" s="22"/>
      <c r="DA38" s="20">
        <f t="shared" si="28"/>
        <v>0</v>
      </c>
      <c r="DB38" s="20">
        <f t="shared" si="29"/>
        <v>0</v>
      </c>
    </row>
    <row r="39" spans="1:106" s="20" customFormat="1" ht="30" x14ac:dyDescent="0.25">
      <c r="A39" s="20">
        <v>5</v>
      </c>
      <c r="B39" s="20">
        <f t="shared" si="11"/>
        <v>1</v>
      </c>
      <c r="C39" s="27" t="s">
        <v>25</v>
      </c>
      <c r="D39" s="20">
        <f t="shared" si="26"/>
        <v>27</v>
      </c>
      <c r="E39" s="5">
        <v>43550</v>
      </c>
      <c r="F39" s="9">
        <v>43577</v>
      </c>
      <c r="G39" s="20">
        <f>AVERAGEIF(DB40:DB$126,A39,G40:G$126)</f>
        <v>0</v>
      </c>
      <c r="CZ39" s="22"/>
      <c r="DA39" s="20">
        <f t="shared" si="28"/>
        <v>1</v>
      </c>
      <c r="DB39" s="20">
        <f t="shared" si="29"/>
        <v>0</v>
      </c>
    </row>
    <row r="40" spans="1:106" s="20" customFormat="1" ht="6" customHeight="1" x14ac:dyDescent="0.25">
      <c r="B40" s="10">
        <f t="shared" ref="B40" si="40">B39</f>
        <v>1</v>
      </c>
      <c r="C40" s="27"/>
      <c r="D40" s="20" t="str">
        <f t="shared" si="26"/>
        <v/>
      </c>
      <c r="E40" s="5" t="str">
        <f t="shared" si="27"/>
        <v/>
      </c>
      <c r="F40" s="9" t="str">
        <f t="shared" si="14"/>
        <v/>
      </c>
      <c r="CZ40" s="22"/>
      <c r="DA40" s="20">
        <f t="shared" si="28"/>
        <v>0</v>
      </c>
      <c r="DB40" s="20">
        <f t="shared" si="29"/>
        <v>0</v>
      </c>
    </row>
    <row r="41" spans="1:106" s="20" customFormat="1" x14ac:dyDescent="0.25">
      <c r="A41" s="20">
        <v>5.0999999999999996</v>
      </c>
      <c r="B41" s="20">
        <f t="shared" ref="B41" si="41">IF(A41&lt;&gt;"",IF(A41-INT(A41)=0,1,0),"")</f>
        <v>0</v>
      </c>
      <c r="C41" s="27" t="s">
        <v>22</v>
      </c>
      <c r="D41" s="20">
        <v>7</v>
      </c>
      <c r="E41" s="5">
        <f t="shared" si="27"/>
        <v>43550</v>
      </c>
      <c r="F41" s="9">
        <f t="shared" si="14"/>
        <v>43556</v>
      </c>
      <c r="G41" s="20">
        <v>0</v>
      </c>
      <c r="H41" s="20">
        <v>2</v>
      </c>
      <c r="CZ41" s="22"/>
      <c r="DA41" s="20">
        <f t="shared" si="28"/>
        <v>1</v>
      </c>
      <c r="DB41" s="20">
        <f t="shared" si="29"/>
        <v>5</v>
      </c>
    </row>
    <row r="42" spans="1:106" s="20" customFormat="1" ht="6" customHeight="1" x14ac:dyDescent="0.25">
      <c r="B42" s="10">
        <f t="shared" ref="B42" si="42">B41</f>
        <v>0</v>
      </c>
      <c r="C42" s="27"/>
      <c r="D42" s="20" t="str">
        <f t="shared" si="26"/>
        <v/>
      </c>
      <c r="E42" s="5" t="str">
        <f t="shared" si="27"/>
        <v/>
      </c>
      <c r="F42" s="9" t="str">
        <f t="shared" si="14"/>
        <v/>
      </c>
      <c r="CZ42" s="22"/>
      <c r="DA42" s="20">
        <f t="shared" si="28"/>
        <v>0</v>
      </c>
      <c r="DB42" s="20">
        <f t="shared" si="29"/>
        <v>0</v>
      </c>
    </row>
    <row r="43" spans="1:106" s="20" customFormat="1" x14ac:dyDescent="0.25">
      <c r="A43" s="20">
        <v>5.2</v>
      </c>
      <c r="B43" s="20">
        <f t="shared" ref="B43" si="43">IF(A43&lt;&gt;"",IF(A43-INT(A43)=0,1,0),"")</f>
        <v>0</v>
      </c>
      <c r="C43" s="27" t="s">
        <v>23</v>
      </c>
      <c r="D43" s="20">
        <v>14</v>
      </c>
      <c r="E43" s="5">
        <f t="shared" si="27"/>
        <v>43557</v>
      </c>
      <c r="F43" s="9">
        <f t="shared" si="14"/>
        <v>43570</v>
      </c>
      <c r="G43" s="20">
        <v>0</v>
      </c>
      <c r="H43" s="20">
        <v>5.0999999999999996</v>
      </c>
      <c r="CZ43" s="22"/>
      <c r="DA43" s="20">
        <f t="shared" si="28"/>
        <v>1</v>
      </c>
      <c r="DB43" s="20">
        <f t="shared" si="29"/>
        <v>5</v>
      </c>
    </row>
    <row r="44" spans="1:106" s="20" customFormat="1" ht="6" customHeight="1" x14ac:dyDescent="0.25">
      <c r="B44" s="10">
        <f t="shared" ref="B44" si="44">B43</f>
        <v>0</v>
      </c>
      <c r="C44" s="27"/>
      <c r="D44" s="20" t="str">
        <f t="shared" si="26"/>
        <v/>
      </c>
      <c r="E44" s="5" t="str">
        <f t="shared" si="27"/>
        <v/>
      </c>
      <c r="F44" s="9" t="str">
        <f t="shared" si="14"/>
        <v/>
      </c>
      <c r="CZ44" s="22"/>
      <c r="DA44" s="20">
        <f t="shared" si="28"/>
        <v>0</v>
      </c>
      <c r="DB44" s="20">
        <f t="shared" si="29"/>
        <v>0</v>
      </c>
    </row>
    <row r="45" spans="1:106" s="20" customFormat="1" x14ac:dyDescent="0.25">
      <c r="A45" s="20">
        <v>5.3</v>
      </c>
      <c r="B45" s="20">
        <f t="shared" ref="B45" si="45">IF(A45&lt;&gt;"",IF(A45-INT(A45)=0,1,0),"")</f>
        <v>0</v>
      </c>
      <c r="C45" s="27" t="s">
        <v>24</v>
      </c>
      <c r="D45" s="20">
        <v>7</v>
      </c>
      <c r="E45" s="5">
        <f t="shared" si="27"/>
        <v>43571</v>
      </c>
      <c r="F45" s="9">
        <f t="shared" si="14"/>
        <v>43577</v>
      </c>
      <c r="G45" s="20">
        <v>0</v>
      </c>
      <c r="H45" s="20">
        <v>5.2</v>
      </c>
      <c r="CZ45" s="22"/>
      <c r="DA45" s="20">
        <f t="shared" si="28"/>
        <v>1</v>
      </c>
      <c r="DB45" s="20">
        <f t="shared" si="29"/>
        <v>5</v>
      </c>
    </row>
    <row r="46" spans="1:106" s="20" customFormat="1" ht="6" customHeight="1" x14ac:dyDescent="0.25">
      <c r="B46" s="10">
        <f t="shared" ref="B46" si="46">B45</f>
        <v>0</v>
      </c>
      <c r="C46" s="27"/>
      <c r="D46" s="20" t="str">
        <f t="shared" si="26"/>
        <v/>
      </c>
      <c r="E46" s="5" t="str">
        <f t="shared" si="27"/>
        <v/>
      </c>
      <c r="F46" s="9" t="str">
        <f t="shared" si="14"/>
        <v/>
      </c>
      <c r="CZ46" s="22"/>
      <c r="DA46" s="20">
        <f t="shared" si="28"/>
        <v>0</v>
      </c>
      <c r="DB46" s="20">
        <f t="shared" si="29"/>
        <v>0</v>
      </c>
    </row>
    <row r="47" spans="1:106" s="20" customFormat="1" ht="30" x14ac:dyDescent="0.25">
      <c r="A47" s="20">
        <v>6</v>
      </c>
      <c r="B47" s="20">
        <f t="shared" si="11"/>
        <v>1</v>
      </c>
      <c r="C47" s="27" t="s">
        <v>29</v>
      </c>
      <c r="D47" s="20">
        <f t="shared" si="26"/>
        <v>34</v>
      </c>
      <c r="E47" s="5">
        <v>43578</v>
      </c>
      <c r="F47" s="9">
        <v>43612</v>
      </c>
      <c r="G47" s="20">
        <f>AVERAGEIF(DB48:DB$126,A47,G48:G$126)</f>
        <v>0</v>
      </c>
      <c r="CZ47" s="22"/>
      <c r="DA47" s="20">
        <f t="shared" si="28"/>
        <v>1</v>
      </c>
      <c r="DB47" s="20">
        <f t="shared" si="29"/>
        <v>0</v>
      </c>
    </row>
    <row r="48" spans="1:106" s="20" customFormat="1" ht="6" customHeight="1" x14ac:dyDescent="0.25">
      <c r="B48" s="10">
        <f t="shared" ref="B48" si="47">B47</f>
        <v>1</v>
      </c>
      <c r="C48" s="27"/>
      <c r="D48" s="20" t="str">
        <f t="shared" si="26"/>
        <v/>
      </c>
      <c r="E48" s="5" t="str">
        <f t="shared" si="27"/>
        <v/>
      </c>
      <c r="F48" s="9" t="str">
        <f t="shared" si="14"/>
        <v/>
      </c>
      <c r="CZ48" s="22"/>
      <c r="DA48" s="20">
        <f t="shared" si="28"/>
        <v>0</v>
      </c>
      <c r="DB48" s="20">
        <f t="shared" si="29"/>
        <v>0</v>
      </c>
    </row>
    <row r="49" spans="1:106" s="20" customFormat="1" x14ac:dyDescent="0.25">
      <c r="A49" s="20">
        <v>6.1</v>
      </c>
      <c r="B49" s="20">
        <f t="shared" si="11"/>
        <v>0</v>
      </c>
      <c r="C49" s="27" t="s">
        <v>22</v>
      </c>
      <c r="D49" s="20">
        <v>7</v>
      </c>
      <c r="E49" s="5">
        <f t="shared" si="27"/>
        <v>43578</v>
      </c>
      <c r="F49" s="9">
        <f t="shared" si="14"/>
        <v>43584</v>
      </c>
      <c r="G49" s="20">
        <v>0</v>
      </c>
      <c r="H49" s="20">
        <v>4</v>
      </c>
      <c r="I49" s="20">
        <v>5</v>
      </c>
      <c r="CZ49" s="22"/>
      <c r="DA49" s="20">
        <f t="shared" si="28"/>
        <v>1</v>
      </c>
      <c r="DB49" s="20">
        <f t="shared" si="29"/>
        <v>6</v>
      </c>
    </row>
    <row r="50" spans="1:106" s="20" customFormat="1" ht="6" customHeight="1" x14ac:dyDescent="0.25">
      <c r="B50" s="10">
        <f t="shared" ref="B50" si="48">B49</f>
        <v>0</v>
      </c>
      <c r="C50" s="27"/>
      <c r="D50" s="20" t="str">
        <f t="shared" si="26"/>
        <v/>
      </c>
      <c r="E50" s="5" t="str">
        <f t="shared" si="27"/>
        <v/>
      </c>
      <c r="F50" s="9" t="str">
        <f t="shared" si="14"/>
        <v/>
      </c>
      <c r="CZ50" s="22"/>
      <c r="DA50" s="20">
        <f t="shared" si="28"/>
        <v>0</v>
      </c>
      <c r="DB50" s="20">
        <f t="shared" si="29"/>
        <v>0</v>
      </c>
    </row>
    <row r="51" spans="1:106" s="20" customFormat="1" x14ac:dyDescent="0.25">
      <c r="A51" s="20">
        <v>6.2</v>
      </c>
      <c r="B51" s="20">
        <f t="shared" si="11"/>
        <v>0</v>
      </c>
      <c r="C51" s="27" t="s">
        <v>27</v>
      </c>
      <c r="D51" s="20">
        <v>7</v>
      </c>
      <c r="E51" s="5">
        <f t="shared" si="27"/>
        <v>43585</v>
      </c>
      <c r="F51" s="9">
        <f t="shared" si="14"/>
        <v>43591</v>
      </c>
      <c r="G51" s="20">
        <v>0</v>
      </c>
      <c r="H51" s="20">
        <v>6.1</v>
      </c>
      <c r="CZ51" s="22"/>
      <c r="DA51" s="20">
        <f t="shared" si="28"/>
        <v>1</v>
      </c>
      <c r="DB51" s="20">
        <f t="shared" si="29"/>
        <v>6</v>
      </c>
    </row>
    <row r="52" spans="1:106" s="20" customFormat="1" ht="6" customHeight="1" x14ac:dyDescent="0.25">
      <c r="B52" s="10">
        <f t="shared" ref="B52" si="49">B51</f>
        <v>0</v>
      </c>
      <c r="C52" s="27"/>
      <c r="D52" s="20" t="str">
        <f t="shared" si="26"/>
        <v/>
      </c>
      <c r="E52" s="5" t="str">
        <f t="shared" si="27"/>
        <v/>
      </c>
      <c r="F52" s="9" t="str">
        <f t="shared" si="14"/>
        <v/>
      </c>
      <c r="CZ52" s="22"/>
      <c r="DA52" s="20">
        <f t="shared" si="28"/>
        <v>0</v>
      </c>
      <c r="DB52" s="20">
        <f t="shared" si="29"/>
        <v>0</v>
      </c>
    </row>
    <row r="53" spans="1:106" s="20" customFormat="1" x14ac:dyDescent="0.25">
      <c r="A53" s="20">
        <v>6.3</v>
      </c>
      <c r="B53" s="20">
        <f t="shared" si="11"/>
        <v>0</v>
      </c>
      <c r="C53" s="27" t="s">
        <v>28</v>
      </c>
      <c r="D53" s="20">
        <v>21</v>
      </c>
      <c r="E53" s="5">
        <f t="shared" si="27"/>
        <v>43592</v>
      </c>
      <c r="F53" s="9">
        <f t="shared" si="14"/>
        <v>43612</v>
      </c>
      <c r="G53" s="20">
        <v>0</v>
      </c>
      <c r="H53" s="20">
        <v>6.2</v>
      </c>
      <c r="CZ53" s="22"/>
      <c r="DA53" s="20">
        <f t="shared" si="28"/>
        <v>1</v>
      </c>
      <c r="DB53" s="20">
        <f t="shared" si="29"/>
        <v>6</v>
      </c>
    </row>
    <row r="54" spans="1:106" s="20" customFormat="1" ht="6" customHeight="1" x14ac:dyDescent="0.25">
      <c r="B54" s="10">
        <f t="shared" ref="B54" si="50">B53</f>
        <v>0</v>
      </c>
      <c r="C54" s="27"/>
      <c r="D54" s="20" t="str">
        <f t="shared" si="26"/>
        <v/>
      </c>
      <c r="E54" s="5" t="str">
        <f t="shared" si="27"/>
        <v/>
      </c>
      <c r="F54" s="9" t="str">
        <f t="shared" si="14"/>
        <v/>
      </c>
      <c r="CZ54" s="22"/>
      <c r="DA54" s="20">
        <f t="shared" si="28"/>
        <v>0</v>
      </c>
      <c r="DB54" s="20">
        <f t="shared" si="29"/>
        <v>0</v>
      </c>
    </row>
    <row r="55" spans="1:106" s="20" customFormat="1" x14ac:dyDescent="0.25">
      <c r="A55" s="20">
        <v>7</v>
      </c>
      <c r="B55" s="20">
        <f t="shared" si="11"/>
        <v>1</v>
      </c>
      <c r="C55" s="27" t="s">
        <v>30</v>
      </c>
      <c r="D55" s="20">
        <f t="shared" si="26"/>
        <v>9</v>
      </c>
      <c r="E55" s="5">
        <v>43613</v>
      </c>
      <c r="F55" s="9">
        <v>43622</v>
      </c>
      <c r="G55" s="20">
        <f>AVERAGEIF(DB56:DB$126,A55,G56:G$126)</f>
        <v>0</v>
      </c>
      <c r="CZ55" s="22"/>
      <c r="DA55" s="20">
        <f t="shared" si="28"/>
        <v>1</v>
      </c>
      <c r="DB55" s="20">
        <f t="shared" si="29"/>
        <v>0</v>
      </c>
    </row>
    <row r="56" spans="1:106" s="20" customFormat="1" ht="6" customHeight="1" x14ac:dyDescent="0.25">
      <c r="B56" s="10">
        <f t="shared" ref="B56" si="51">B55</f>
        <v>1</v>
      </c>
      <c r="C56" s="27"/>
      <c r="D56" s="20" t="str">
        <f t="shared" si="26"/>
        <v/>
      </c>
      <c r="E56" s="5" t="str">
        <f t="shared" si="27"/>
        <v/>
      </c>
      <c r="F56" s="9" t="str">
        <f t="shared" si="14"/>
        <v/>
      </c>
      <c r="CZ56" s="22"/>
      <c r="DA56" s="20">
        <f t="shared" si="28"/>
        <v>0</v>
      </c>
      <c r="DB56" s="20">
        <f t="shared" si="29"/>
        <v>0</v>
      </c>
    </row>
    <row r="57" spans="1:106" s="20" customFormat="1" x14ac:dyDescent="0.25">
      <c r="A57" s="20">
        <v>7.1</v>
      </c>
      <c r="B57" s="20">
        <f t="shared" si="11"/>
        <v>0</v>
      </c>
      <c r="C57" s="27" t="s">
        <v>30</v>
      </c>
      <c r="D57" s="20">
        <v>10</v>
      </c>
      <c r="E57" s="5">
        <f t="shared" si="27"/>
        <v>43613</v>
      </c>
      <c r="F57" s="9">
        <f t="shared" si="14"/>
        <v>43622</v>
      </c>
      <c r="G57" s="20">
        <v>0</v>
      </c>
      <c r="H57" s="20">
        <v>4</v>
      </c>
      <c r="I57" s="20">
        <v>5</v>
      </c>
      <c r="J57" s="20">
        <v>6</v>
      </c>
      <c r="K57" s="20">
        <v>3</v>
      </c>
      <c r="CZ57" s="22"/>
      <c r="DA57" s="20">
        <f t="shared" si="28"/>
        <v>1</v>
      </c>
      <c r="DB57" s="20">
        <f t="shared" si="29"/>
        <v>7</v>
      </c>
    </row>
    <row r="58" spans="1:106" s="20" customFormat="1" ht="6" customHeight="1" x14ac:dyDescent="0.25">
      <c r="B58" s="10">
        <f t="shared" ref="B58" si="52">B57</f>
        <v>0</v>
      </c>
      <c r="C58" s="27"/>
      <c r="D58" s="20" t="str">
        <f t="shared" si="26"/>
        <v/>
      </c>
      <c r="E58" s="5" t="str">
        <f t="shared" si="27"/>
        <v/>
      </c>
      <c r="F58" s="9" t="str">
        <f t="shared" si="14"/>
        <v/>
      </c>
      <c r="CZ58" s="22"/>
      <c r="DA58" s="20">
        <f t="shared" si="28"/>
        <v>0</v>
      </c>
      <c r="DB58" s="20">
        <f t="shared" si="29"/>
        <v>0</v>
      </c>
    </row>
    <row r="59" spans="1:106" s="20" customFormat="1" hidden="1" x14ac:dyDescent="0.25">
      <c r="B59" s="20" t="str">
        <f t="shared" si="11"/>
        <v/>
      </c>
      <c r="C59" s="27"/>
      <c r="D59" s="20" t="str">
        <f t="shared" si="26"/>
        <v/>
      </c>
      <c r="E59" s="5" t="str">
        <f t="shared" si="27"/>
        <v/>
      </c>
      <c r="F59" s="9" t="str">
        <f t="shared" si="14"/>
        <v/>
      </c>
      <c r="CZ59" s="22"/>
      <c r="DA59" s="20">
        <f t="shared" si="28"/>
        <v>1</v>
      </c>
      <c r="DB59" s="20">
        <f t="shared" si="29"/>
        <v>0</v>
      </c>
    </row>
    <row r="60" spans="1:106" s="20" customFormat="1" ht="6" hidden="1" customHeight="1" x14ac:dyDescent="0.25">
      <c r="B60" s="10" t="str">
        <f t="shared" ref="B60" si="53">B59</f>
        <v/>
      </c>
      <c r="C60" s="27"/>
      <c r="D60" s="20" t="str">
        <f t="shared" si="26"/>
        <v/>
      </c>
      <c r="E60" s="5" t="str">
        <f t="shared" si="27"/>
        <v/>
      </c>
      <c r="F60" s="9" t="str">
        <f t="shared" si="14"/>
        <v/>
      </c>
      <c r="CZ60" s="22"/>
      <c r="DA60" s="20">
        <f t="shared" si="28"/>
        <v>0</v>
      </c>
      <c r="DB60" s="20">
        <f t="shared" si="29"/>
        <v>0</v>
      </c>
    </row>
    <row r="61" spans="1:106" s="20" customFormat="1" hidden="1" x14ac:dyDescent="0.25">
      <c r="B61" s="20" t="str">
        <f t="shared" si="11"/>
        <v/>
      </c>
      <c r="C61" s="27"/>
      <c r="D61" s="20" t="str">
        <f t="shared" si="26"/>
        <v/>
      </c>
      <c r="E61" s="5" t="str">
        <f t="shared" si="27"/>
        <v/>
      </c>
      <c r="F61" s="9" t="str">
        <f t="shared" si="14"/>
        <v/>
      </c>
      <c r="CZ61" s="22"/>
      <c r="DA61" s="20">
        <f t="shared" si="28"/>
        <v>1</v>
      </c>
      <c r="DB61" s="20">
        <f t="shared" si="29"/>
        <v>0</v>
      </c>
    </row>
    <row r="62" spans="1:106" s="20" customFormat="1" ht="6" hidden="1" customHeight="1" x14ac:dyDescent="0.25">
      <c r="B62" s="10" t="str">
        <f t="shared" ref="B62" si="54">B61</f>
        <v/>
      </c>
      <c r="C62" s="27"/>
      <c r="D62" s="20" t="str">
        <f t="shared" si="26"/>
        <v/>
      </c>
      <c r="E62" s="5" t="str">
        <f t="shared" si="27"/>
        <v/>
      </c>
      <c r="F62" s="9" t="str">
        <f t="shared" si="14"/>
        <v/>
      </c>
      <c r="CZ62" s="22"/>
      <c r="DA62" s="20">
        <f t="shared" si="28"/>
        <v>0</v>
      </c>
      <c r="DB62" s="20">
        <f t="shared" si="29"/>
        <v>0</v>
      </c>
    </row>
    <row r="63" spans="1:106" s="20" customFormat="1" hidden="1" x14ac:dyDescent="0.25">
      <c r="B63" s="20" t="str">
        <f t="shared" si="11"/>
        <v/>
      </c>
      <c r="C63" s="27"/>
      <c r="D63" s="20" t="str">
        <f t="shared" si="26"/>
        <v/>
      </c>
      <c r="E63" s="5" t="str">
        <f t="shared" si="27"/>
        <v/>
      </c>
      <c r="F63" s="9" t="str">
        <f t="shared" si="14"/>
        <v/>
      </c>
      <c r="CZ63" s="22"/>
      <c r="DA63" s="20">
        <f t="shared" si="28"/>
        <v>1</v>
      </c>
      <c r="DB63" s="20">
        <f t="shared" si="29"/>
        <v>0</v>
      </c>
    </row>
    <row r="64" spans="1:106" s="20" customFormat="1" ht="6" hidden="1" customHeight="1" x14ac:dyDescent="0.25">
      <c r="B64" s="10" t="str">
        <f t="shared" ref="B64" si="55">B63</f>
        <v/>
      </c>
      <c r="C64" s="27"/>
      <c r="D64" s="20" t="str">
        <f t="shared" si="26"/>
        <v/>
      </c>
      <c r="E64" s="5" t="str">
        <f t="shared" si="27"/>
        <v/>
      </c>
      <c r="F64" s="9" t="str">
        <f t="shared" si="14"/>
        <v/>
      </c>
      <c r="CZ64" s="22"/>
      <c r="DA64" s="20">
        <f t="shared" si="28"/>
        <v>0</v>
      </c>
      <c r="DB64" s="20">
        <f t="shared" si="29"/>
        <v>0</v>
      </c>
    </row>
    <row r="65" spans="2:106" s="20" customFormat="1" hidden="1" x14ac:dyDescent="0.25">
      <c r="B65" s="20" t="str">
        <f t="shared" si="11"/>
        <v/>
      </c>
      <c r="C65" s="27"/>
      <c r="D65" s="20" t="str">
        <f t="shared" si="26"/>
        <v/>
      </c>
      <c r="E65" s="5" t="str">
        <f t="shared" si="27"/>
        <v/>
      </c>
      <c r="F65" s="9" t="str">
        <f t="shared" si="14"/>
        <v/>
      </c>
      <c r="CZ65" s="22"/>
      <c r="DA65" s="20">
        <f t="shared" si="28"/>
        <v>1</v>
      </c>
      <c r="DB65" s="20">
        <f t="shared" si="29"/>
        <v>0</v>
      </c>
    </row>
    <row r="66" spans="2:106" s="20" customFormat="1" ht="6" hidden="1" customHeight="1" x14ac:dyDescent="0.25">
      <c r="B66" s="10" t="str">
        <f t="shared" ref="B66" si="56">B65</f>
        <v/>
      </c>
      <c r="C66" s="27"/>
      <c r="D66" s="20" t="str">
        <f t="shared" si="26"/>
        <v/>
      </c>
      <c r="E66" s="5" t="str">
        <f t="shared" si="27"/>
        <v/>
      </c>
      <c r="F66" s="9" t="str">
        <f t="shared" si="14"/>
        <v/>
      </c>
      <c r="CZ66" s="22"/>
      <c r="DA66" s="20">
        <f t="shared" si="28"/>
        <v>0</v>
      </c>
      <c r="DB66" s="20">
        <f t="shared" si="29"/>
        <v>0</v>
      </c>
    </row>
    <row r="67" spans="2:106" s="20" customFormat="1" hidden="1" x14ac:dyDescent="0.25">
      <c r="B67" s="20" t="str">
        <f t="shared" si="11"/>
        <v/>
      </c>
      <c r="C67" s="27"/>
      <c r="D67" s="20" t="str">
        <f t="shared" si="26"/>
        <v/>
      </c>
      <c r="E67" s="5" t="str">
        <f t="shared" si="27"/>
        <v/>
      </c>
      <c r="F67" s="9" t="str">
        <f t="shared" si="14"/>
        <v/>
      </c>
      <c r="CZ67" s="22"/>
      <c r="DA67" s="20">
        <f t="shared" si="28"/>
        <v>1</v>
      </c>
      <c r="DB67" s="20">
        <f t="shared" si="29"/>
        <v>0</v>
      </c>
    </row>
    <row r="68" spans="2:106" s="20" customFormat="1" ht="6" hidden="1" customHeight="1" x14ac:dyDescent="0.25">
      <c r="B68" s="10" t="str">
        <f t="shared" ref="B68" si="57">B67</f>
        <v/>
      </c>
      <c r="C68" s="27"/>
      <c r="D68" s="20" t="str">
        <f t="shared" si="26"/>
        <v/>
      </c>
      <c r="E68" s="5" t="str">
        <f t="shared" si="27"/>
        <v/>
      </c>
      <c r="F68" s="9" t="str">
        <f t="shared" si="14"/>
        <v/>
      </c>
      <c r="CZ68" s="22"/>
      <c r="DA68" s="20">
        <f t="shared" si="28"/>
        <v>0</v>
      </c>
      <c r="DB68" s="20">
        <f t="shared" si="29"/>
        <v>0</v>
      </c>
    </row>
    <row r="69" spans="2:106" s="20" customFormat="1" hidden="1" x14ac:dyDescent="0.25">
      <c r="B69" s="20" t="str">
        <f t="shared" si="11"/>
        <v/>
      </c>
      <c r="C69" s="27"/>
      <c r="D69" s="20" t="str">
        <f t="shared" si="26"/>
        <v/>
      </c>
      <c r="E69" s="5" t="str">
        <f t="shared" si="27"/>
        <v/>
      </c>
      <c r="F69" s="9" t="str">
        <f t="shared" si="14"/>
        <v/>
      </c>
      <c r="CZ69" s="22"/>
      <c r="DA69" s="20">
        <f t="shared" si="28"/>
        <v>1</v>
      </c>
      <c r="DB69" s="20">
        <f t="shared" si="29"/>
        <v>0</v>
      </c>
    </row>
    <row r="70" spans="2:106" s="20" customFormat="1" hidden="1" x14ac:dyDescent="0.25">
      <c r="B70" s="10" t="str">
        <f t="shared" ref="B70" si="58">B69</f>
        <v/>
      </c>
      <c r="C70" s="27"/>
      <c r="D70" s="20" t="str">
        <f t="shared" si="26"/>
        <v/>
      </c>
      <c r="E70" s="5" t="str">
        <f t="shared" si="27"/>
        <v/>
      </c>
      <c r="F70" s="9" t="str">
        <f t="shared" si="14"/>
        <v/>
      </c>
      <c r="CZ70" s="22"/>
      <c r="DA70" s="20">
        <f t="shared" si="28"/>
        <v>0</v>
      </c>
      <c r="DB70" s="20">
        <f t="shared" si="29"/>
        <v>0</v>
      </c>
    </row>
    <row r="71" spans="2:106" s="20" customFormat="1" hidden="1" x14ac:dyDescent="0.25">
      <c r="B71" s="20" t="str">
        <f t="shared" si="11"/>
        <v/>
      </c>
      <c r="C71" s="27"/>
      <c r="D71" s="20" t="str">
        <f t="shared" si="26"/>
        <v/>
      </c>
      <c r="E71" s="5" t="str">
        <f t="shared" si="27"/>
        <v/>
      </c>
      <c r="F71" s="9" t="str">
        <f t="shared" ref="F71:F134" si="59">IF(A71&lt;&gt;"",IFERROR(E71+D71-1,""),"")</f>
        <v/>
      </c>
      <c r="CZ71" s="22"/>
      <c r="DA71" s="20">
        <f t="shared" si="28"/>
        <v>1</v>
      </c>
      <c r="DB71" s="20">
        <f t="shared" si="29"/>
        <v>0</v>
      </c>
    </row>
    <row r="72" spans="2:106" s="20" customFormat="1" hidden="1" x14ac:dyDescent="0.25">
      <c r="B72" s="10" t="str">
        <f t="shared" ref="B72" si="60">B71</f>
        <v/>
      </c>
      <c r="C72" s="27"/>
      <c r="D72" s="20" t="str">
        <f t="shared" si="26"/>
        <v/>
      </c>
      <c r="E72" s="5" t="str">
        <f t="shared" si="27"/>
        <v/>
      </c>
      <c r="F72" s="9" t="str">
        <f t="shared" si="59"/>
        <v/>
      </c>
      <c r="CZ72" s="22"/>
      <c r="DA72" s="20">
        <f t="shared" si="28"/>
        <v>0</v>
      </c>
      <c r="DB72" s="20">
        <f t="shared" si="29"/>
        <v>0</v>
      </c>
    </row>
    <row r="73" spans="2:106" s="20" customFormat="1" hidden="1" x14ac:dyDescent="0.25">
      <c r="B73" s="20" t="str">
        <f t="shared" si="11"/>
        <v/>
      </c>
      <c r="C73" s="27"/>
      <c r="D73" s="20" t="str">
        <f t="shared" si="26"/>
        <v/>
      </c>
      <c r="E73" s="5" t="str">
        <f t="shared" si="27"/>
        <v/>
      </c>
      <c r="F73" s="9" t="str">
        <f t="shared" si="59"/>
        <v/>
      </c>
      <c r="CZ73" s="22"/>
      <c r="DA73" s="20">
        <f t="shared" si="28"/>
        <v>1</v>
      </c>
      <c r="DB73" s="20">
        <f t="shared" si="29"/>
        <v>0</v>
      </c>
    </row>
    <row r="74" spans="2:106" s="20" customFormat="1" hidden="1" x14ac:dyDescent="0.25">
      <c r="B74" s="10" t="str">
        <f t="shared" ref="B74" si="61">B73</f>
        <v/>
      </c>
      <c r="C74" s="27"/>
      <c r="D74" s="20" t="str">
        <f t="shared" si="26"/>
        <v/>
      </c>
      <c r="E74" s="5" t="str">
        <f t="shared" si="27"/>
        <v/>
      </c>
      <c r="F74" s="9" t="str">
        <f t="shared" si="59"/>
        <v/>
      </c>
      <c r="CZ74" s="22"/>
      <c r="DA74" s="20">
        <f t="shared" si="28"/>
        <v>0</v>
      </c>
      <c r="DB74" s="20">
        <f t="shared" si="29"/>
        <v>0</v>
      </c>
    </row>
    <row r="75" spans="2:106" s="20" customFormat="1" hidden="1" x14ac:dyDescent="0.25">
      <c r="B75" s="20" t="str">
        <f t="shared" si="11"/>
        <v/>
      </c>
      <c r="C75" s="27"/>
      <c r="D75" s="20" t="str">
        <f t="shared" si="26"/>
        <v/>
      </c>
      <c r="E75" s="5" t="str">
        <f t="shared" si="27"/>
        <v/>
      </c>
      <c r="F75" s="9" t="str">
        <f t="shared" si="59"/>
        <v/>
      </c>
      <c r="CZ75" s="22"/>
      <c r="DA75" s="20">
        <f t="shared" si="28"/>
        <v>1</v>
      </c>
      <c r="DB75" s="20">
        <f t="shared" si="29"/>
        <v>0</v>
      </c>
    </row>
    <row r="76" spans="2:106" s="20" customFormat="1" hidden="1" x14ac:dyDescent="0.25">
      <c r="B76" s="10" t="str">
        <f t="shared" ref="B76" si="62">B75</f>
        <v/>
      </c>
      <c r="C76" s="27"/>
      <c r="D76" s="20" t="str">
        <f t="shared" si="26"/>
        <v/>
      </c>
      <c r="E76" s="5" t="str">
        <f t="shared" si="27"/>
        <v/>
      </c>
      <c r="F76" s="9" t="str">
        <f t="shared" si="59"/>
        <v/>
      </c>
      <c r="CZ76" s="22"/>
      <c r="DA76" s="20">
        <f t="shared" si="28"/>
        <v>0</v>
      </c>
      <c r="DB76" s="20">
        <f t="shared" si="29"/>
        <v>0</v>
      </c>
    </row>
    <row r="77" spans="2:106" s="20" customFormat="1" hidden="1" x14ac:dyDescent="0.25">
      <c r="B77" s="20" t="str">
        <f t="shared" ref="B77:B139" si="63">IF(A77&lt;&gt;"",IF(A77-INT(A77)=0,1,0),"")</f>
        <v/>
      </c>
      <c r="C77" s="27"/>
      <c r="D77" s="20" t="str">
        <f t="shared" si="26"/>
        <v/>
      </c>
      <c r="E77" s="5" t="str">
        <f t="shared" si="27"/>
        <v/>
      </c>
      <c r="F77" s="9" t="str">
        <f t="shared" si="59"/>
        <v/>
      </c>
      <c r="CZ77" s="22"/>
      <c r="DA77" s="20">
        <f t="shared" si="28"/>
        <v>1</v>
      </c>
      <c r="DB77" s="20">
        <f t="shared" si="29"/>
        <v>0</v>
      </c>
    </row>
    <row r="78" spans="2:106" s="20" customFormat="1" hidden="1" x14ac:dyDescent="0.25">
      <c r="B78" s="10" t="str">
        <f t="shared" ref="B78" si="64">B77</f>
        <v/>
      </c>
      <c r="C78" s="27"/>
      <c r="D78" s="20" t="str">
        <f t="shared" si="26"/>
        <v/>
      </c>
      <c r="E78" s="5" t="str">
        <f t="shared" si="27"/>
        <v/>
      </c>
      <c r="F78" s="9" t="str">
        <f t="shared" si="59"/>
        <v/>
      </c>
      <c r="CZ78" s="22"/>
      <c r="DA78" s="20">
        <f t="shared" si="28"/>
        <v>0</v>
      </c>
      <c r="DB78" s="20">
        <f t="shared" si="29"/>
        <v>0</v>
      </c>
    </row>
    <row r="79" spans="2:106" s="20" customFormat="1" hidden="1" x14ac:dyDescent="0.25">
      <c r="B79" s="20" t="str">
        <f t="shared" si="63"/>
        <v/>
      </c>
      <c r="C79" s="27"/>
      <c r="D79" s="20" t="str">
        <f t="shared" si="26"/>
        <v/>
      </c>
      <c r="E79" s="5" t="str">
        <f t="shared" si="27"/>
        <v/>
      </c>
      <c r="F79" s="9" t="str">
        <f t="shared" si="59"/>
        <v/>
      </c>
      <c r="CZ79" s="22"/>
      <c r="DA79" s="20">
        <f t="shared" si="28"/>
        <v>1</v>
      </c>
      <c r="DB79" s="20">
        <f t="shared" si="29"/>
        <v>0</v>
      </c>
    </row>
    <row r="80" spans="2:106" s="20" customFormat="1" hidden="1" x14ac:dyDescent="0.25">
      <c r="B80" s="10" t="str">
        <f t="shared" ref="B80" si="65">B79</f>
        <v/>
      </c>
      <c r="C80" s="27"/>
      <c r="D80" s="20" t="str">
        <f t="shared" si="26"/>
        <v/>
      </c>
      <c r="E80" s="5" t="str">
        <f t="shared" si="27"/>
        <v/>
      </c>
      <c r="F80" s="9" t="str">
        <f t="shared" si="59"/>
        <v/>
      </c>
      <c r="CZ80" s="22"/>
      <c r="DA80" s="20">
        <f t="shared" si="28"/>
        <v>0</v>
      </c>
      <c r="DB80" s="20">
        <f t="shared" si="29"/>
        <v>0</v>
      </c>
    </row>
    <row r="81" spans="2:106" s="20" customFormat="1" hidden="1" x14ac:dyDescent="0.25">
      <c r="B81" s="20" t="str">
        <f t="shared" si="63"/>
        <v/>
      </c>
      <c r="C81" s="27"/>
      <c r="D81" s="20" t="str">
        <f t="shared" si="26"/>
        <v/>
      </c>
      <c r="E81" s="5" t="str">
        <f t="shared" si="27"/>
        <v/>
      </c>
      <c r="F81" s="9" t="str">
        <f t="shared" si="59"/>
        <v/>
      </c>
      <c r="CZ81" s="22"/>
      <c r="DA81" s="20">
        <f t="shared" si="28"/>
        <v>1</v>
      </c>
      <c r="DB81" s="20">
        <f t="shared" si="29"/>
        <v>0</v>
      </c>
    </row>
    <row r="82" spans="2:106" s="20" customFormat="1" hidden="1" x14ac:dyDescent="0.25">
      <c r="B82" s="10" t="str">
        <f t="shared" ref="B82" si="66">B81</f>
        <v/>
      </c>
      <c r="C82" s="27"/>
      <c r="D82" s="20" t="str">
        <f t="shared" ref="D82:D145" si="67">IF(A82&lt;&gt;"",_xlfn.DAYS(F82,E82),"")</f>
        <v/>
      </c>
      <c r="E82" s="5" t="str">
        <f t="shared" ref="E82:E145" si="68">IF(A82&lt;&gt;"",(MAX(IFERROR(1+VLOOKUP(H82,A$7:H$105,6),C$2),IFERROR(1+VLOOKUP(I82,A$7:H$105,6),C$2),IFERROR(1+VLOOKUP(J82,A$7:H$105,6),C$2),IFERROR(1+VLOOKUP(K82,A$7:H$105,6),C$2))),"")</f>
        <v/>
      </c>
      <c r="F82" s="9" t="str">
        <f t="shared" si="59"/>
        <v/>
      </c>
      <c r="CZ82" s="22"/>
      <c r="DA82" s="20">
        <f t="shared" ref="DA82:DA145" si="69">MOD(ROW(CZ82),2)</f>
        <v>0</v>
      </c>
      <c r="DB82" s="20">
        <f t="shared" ref="DB82:DB145" si="70">IF(A82=INT(A82),0,INT(A82))</f>
        <v>0</v>
      </c>
    </row>
    <row r="83" spans="2:106" s="20" customFormat="1" hidden="1" x14ac:dyDescent="0.25">
      <c r="B83" s="20" t="str">
        <f t="shared" si="63"/>
        <v/>
      </c>
      <c r="C83" s="27"/>
      <c r="D83" s="20" t="str">
        <f t="shared" si="67"/>
        <v/>
      </c>
      <c r="E83" s="5" t="str">
        <f t="shared" si="68"/>
        <v/>
      </c>
      <c r="F83" s="9" t="str">
        <f t="shared" si="59"/>
        <v/>
      </c>
      <c r="CZ83" s="22"/>
      <c r="DA83" s="20">
        <f t="shared" si="69"/>
        <v>1</v>
      </c>
      <c r="DB83" s="20">
        <f t="shared" si="70"/>
        <v>0</v>
      </c>
    </row>
    <row r="84" spans="2:106" s="20" customFormat="1" hidden="1" x14ac:dyDescent="0.25">
      <c r="B84" s="10" t="str">
        <f t="shared" ref="B84" si="71">B83</f>
        <v/>
      </c>
      <c r="C84" s="27"/>
      <c r="D84" s="20" t="str">
        <f t="shared" si="67"/>
        <v/>
      </c>
      <c r="E84" s="5" t="str">
        <f t="shared" si="68"/>
        <v/>
      </c>
      <c r="F84" s="9" t="str">
        <f t="shared" si="59"/>
        <v/>
      </c>
      <c r="CZ84" s="22"/>
      <c r="DA84" s="20">
        <f t="shared" si="69"/>
        <v>0</v>
      </c>
      <c r="DB84" s="20">
        <f t="shared" si="70"/>
        <v>0</v>
      </c>
    </row>
    <row r="85" spans="2:106" s="20" customFormat="1" hidden="1" x14ac:dyDescent="0.25">
      <c r="B85" s="20" t="str">
        <f t="shared" si="63"/>
        <v/>
      </c>
      <c r="C85" s="27"/>
      <c r="D85" s="20" t="str">
        <f t="shared" si="67"/>
        <v/>
      </c>
      <c r="E85" s="5" t="str">
        <f t="shared" si="68"/>
        <v/>
      </c>
      <c r="F85" s="9" t="str">
        <f t="shared" si="59"/>
        <v/>
      </c>
      <c r="CZ85" s="22"/>
      <c r="DA85" s="20">
        <f t="shared" si="69"/>
        <v>1</v>
      </c>
      <c r="DB85" s="20">
        <f t="shared" si="70"/>
        <v>0</v>
      </c>
    </row>
    <row r="86" spans="2:106" s="20" customFormat="1" hidden="1" x14ac:dyDescent="0.25">
      <c r="B86" s="10" t="str">
        <f t="shared" ref="B86" si="72">B85</f>
        <v/>
      </c>
      <c r="C86" s="27"/>
      <c r="D86" s="20" t="str">
        <f t="shared" si="67"/>
        <v/>
      </c>
      <c r="E86" s="5" t="str">
        <f t="shared" si="68"/>
        <v/>
      </c>
      <c r="F86" s="9" t="str">
        <f t="shared" si="59"/>
        <v/>
      </c>
      <c r="CZ86" s="22"/>
      <c r="DA86" s="20">
        <f t="shared" si="69"/>
        <v>0</v>
      </c>
      <c r="DB86" s="20">
        <f t="shared" si="70"/>
        <v>0</v>
      </c>
    </row>
    <row r="87" spans="2:106" s="20" customFormat="1" hidden="1" x14ac:dyDescent="0.25">
      <c r="B87" s="20" t="str">
        <f t="shared" si="63"/>
        <v/>
      </c>
      <c r="C87" s="27"/>
      <c r="D87" s="20" t="str">
        <f t="shared" si="67"/>
        <v/>
      </c>
      <c r="E87" s="5" t="str">
        <f t="shared" si="68"/>
        <v/>
      </c>
      <c r="F87" s="9" t="str">
        <f t="shared" si="59"/>
        <v/>
      </c>
      <c r="CZ87" s="22"/>
      <c r="DA87" s="20">
        <f t="shared" si="69"/>
        <v>1</v>
      </c>
      <c r="DB87" s="20">
        <f t="shared" si="70"/>
        <v>0</v>
      </c>
    </row>
    <row r="88" spans="2:106" s="20" customFormat="1" hidden="1" x14ac:dyDescent="0.25">
      <c r="B88" s="10" t="str">
        <f t="shared" ref="B88" si="73">B87</f>
        <v/>
      </c>
      <c r="C88" s="27"/>
      <c r="D88" s="20" t="str">
        <f t="shared" si="67"/>
        <v/>
      </c>
      <c r="E88" s="5" t="str">
        <f t="shared" si="68"/>
        <v/>
      </c>
      <c r="F88" s="9" t="str">
        <f t="shared" si="59"/>
        <v/>
      </c>
      <c r="CZ88" s="22"/>
      <c r="DA88" s="20">
        <f t="shared" si="69"/>
        <v>0</v>
      </c>
      <c r="DB88" s="20">
        <f t="shared" si="70"/>
        <v>0</v>
      </c>
    </row>
    <row r="89" spans="2:106" s="20" customFormat="1" hidden="1" x14ac:dyDescent="0.25">
      <c r="B89" s="20" t="str">
        <f t="shared" si="63"/>
        <v/>
      </c>
      <c r="C89" s="27"/>
      <c r="D89" s="20" t="str">
        <f t="shared" si="67"/>
        <v/>
      </c>
      <c r="E89" s="5" t="str">
        <f t="shared" si="68"/>
        <v/>
      </c>
      <c r="F89" s="9" t="str">
        <f t="shared" si="59"/>
        <v/>
      </c>
      <c r="CZ89" s="22"/>
      <c r="DA89" s="20">
        <f t="shared" si="69"/>
        <v>1</v>
      </c>
      <c r="DB89" s="20">
        <f t="shared" si="70"/>
        <v>0</v>
      </c>
    </row>
    <row r="90" spans="2:106" s="20" customFormat="1" hidden="1" x14ac:dyDescent="0.25">
      <c r="B90" s="10" t="str">
        <f t="shared" ref="B90" si="74">B89</f>
        <v/>
      </c>
      <c r="C90" s="27"/>
      <c r="D90" s="20" t="str">
        <f t="shared" si="67"/>
        <v/>
      </c>
      <c r="E90" s="5" t="str">
        <f t="shared" si="68"/>
        <v/>
      </c>
      <c r="F90" s="9" t="str">
        <f t="shared" si="59"/>
        <v/>
      </c>
      <c r="CZ90" s="22"/>
      <c r="DA90" s="20">
        <f t="shared" si="69"/>
        <v>0</v>
      </c>
      <c r="DB90" s="20">
        <f t="shared" si="70"/>
        <v>0</v>
      </c>
    </row>
    <row r="91" spans="2:106" s="20" customFormat="1" hidden="1" x14ac:dyDescent="0.25">
      <c r="B91" s="20" t="str">
        <f t="shared" si="63"/>
        <v/>
      </c>
      <c r="C91" s="27"/>
      <c r="D91" s="20" t="str">
        <f t="shared" si="67"/>
        <v/>
      </c>
      <c r="E91" s="5" t="str">
        <f t="shared" si="68"/>
        <v/>
      </c>
      <c r="F91" s="9" t="str">
        <f t="shared" si="59"/>
        <v/>
      </c>
      <c r="CZ91" s="22"/>
      <c r="DA91" s="20">
        <f t="shared" si="69"/>
        <v>1</v>
      </c>
      <c r="DB91" s="20">
        <f t="shared" si="70"/>
        <v>0</v>
      </c>
    </row>
    <row r="92" spans="2:106" s="20" customFormat="1" hidden="1" x14ac:dyDescent="0.25">
      <c r="B92" s="10" t="str">
        <f t="shared" ref="B92" si="75">B91</f>
        <v/>
      </c>
      <c r="C92" s="27"/>
      <c r="D92" s="20" t="str">
        <f t="shared" si="67"/>
        <v/>
      </c>
      <c r="E92" s="5" t="str">
        <f t="shared" si="68"/>
        <v/>
      </c>
      <c r="F92" s="9" t="str">
        <f t="shared" si="59"/>
        <v/>
      </c>
      <c r="CZ92" s="22"/>
      <c r="DA92" s="20">
        <f t="shared" si="69"/>
        <v>0</v>
      </c>
      <c r="DB92" s="20">
        <f t="shared" si="70"/>
        <v>0</v>
      </c>
    </row>
    <row r="93" spans="2:106" s="20" customFormat="1" hidden="1" x14ac:dyDescent="0.25">
      <c r="B93" s="20" t="str">
        <f t="shared" si="63"/>
        <v/>
      </c>
      <c r="C93" s="27"/>
      <c r="D93" s="20" t="str">
        <f t="shared" si="67"/>
        <v/>
      </c>
      <c r="E93" s="5" t="str">
        <f t="shared" si="68"/>
        <v/>
      </c>
      <c r="F93" s="9" t="str">
        <f t="shared" si="59"/>
        <v/>
      </c>
      <c r="CZ93" s="22"/>
      <c r="DA93" s="20">
        <f t="shared" si="69"/>
        <v>1</v>
      </c>
      <c r="DB93" s="20">
        <f t="shared" si="70"/>
        <v>0</v>
      </c>
    </row>
    <row r="94" spans="2:106" s="20" customFormat="1" hidden="1" x14ac:dyDescent="0.25">
      <c r="B94" s="10" t="str">
        <f t="shared" ref="B94" si="76">B93</f>
        <v/>
      </c>
      <c r="C94" s="27"/>
      <c r="D94" s="20" t="str">
        <f t="shared" si="67"/>
        <v/>
      </c>
      <c r="E94" s="5" t="str">
        <f t="shared" si="68"/>
        <v/>
      </c>
      <c r="F94" s="9" t="str">
        <f t="shared" si="59"/>
        <v/>
      </c>
      <c r="CZ94" s="22"/>
      <c r="DA94" s="20">
        <f t="shared" si="69"/>
        <v>0</v>
      </c>
      <c r="DB94" s="20">
        <f t="shared" si="70"/>
        <v>0</v>
      </c>
    </row>
    <row r="95" spans="2:106" s="20" customFormat="1" hidden="1" x14ac:dyDescent="0.25">
      <c r="B95" s="20" t="str">
        <f t="shared" si="63"/>
        <v/>
      </c>
      <c r="C95" s="27"/>
      <c r="D95" s="20" t="str">
        <f t="shared" si="67"/>
        <v/>
      </c>
      <c r="E95" s="5" t="str">
        <f t="shared" si="68"/>
        <v/>
      </c>
      <c r="F95" s="9" t="str">
        <f t="shared" si="59"/>
        <v/>
      </c>
      <c r="CZ95" s="22"/>
      <c r="DA95" s="20">
        <f t="shared" si="69"/>
        <v>1</v>
      </c>
      <c r="DB95" s="20">
        <f t="shared" si="70"/>
        <v>0</v>
      </c>
    </row>
    <row r="96" spans="2:106" s="20" customFormat="1" hidden="1" x14ac:dyDescent="0.25">
      <c r="B96" s="10" t="str">
        <f t="shared" ref="B96" si="77">B95</f>
        <v/>
      </c>
      <c r="C96" s="27"/>
      <c r="D96" s="20" t="str">
        <f t="shared" si="67"/>
        <v/>
      </c>
      <c r="E96" s="5" t="str">
        <f t="shared" si="68"/>
        <v/>
      </c>
      <c r="F96" s="9" t="str">
        <f t="shared" si="59"/>
        <v/>
      </c>
      <c r="CZ96" s="22"/>
      <c r="DA96" s="20">
        <f t="shared" si="69"/>
        <v>0</v>
      </c>
      <c r="DB96" s="20">
        <f t="shared" si="70"/>
        <v>0</v>
      </c>
    </row>
    <row r="97" spans="2:106" s="20" customFormat="1" hidden="1" x14ac:dyDescent="0.25">
      <c r="B97" s="20" t="str">
        <f t="shared" si="63"/>
        <v/>
      </c>
      <c r="C97" s="27"/>
      <c r="D97" s="20" t="str">
        <f t="shared" si="67"/>
        <v/>
      </c>
      <c r="E97" s="5" t="str">
        <f t="shared" si="68"/>
        <v/>
      </c>
      <c r="F97" s="9" t="str">
        <f t="shared" si="59"/>
        <v/>
      </c>
      <c r="CZ97" s="22"/>
      <c r="DA97" s="20">
        <f t="shared" si="69"/>
        <v>1</v>
      </c>
      <c r="DB97" s="20">
        <f t="shared" si="70"/>
        <v>0</v>
      </c>
    </row>
    <row r="98" spans="2:106" s="20" customFormat="1" hidden="1" x14ac:dyDescent="0.25">
      <c r="B98" s="10" t="str">
        <f t="shared" ref="B98" si="78">B97</f>
        <v/>
      </c>
      <c r="C98" s="27"/>
      <c r="D98" s="20" t="str">
        <f t="shared" si="67"/>
        <v/>
      </c>
      <c r="E98" s="5" t="str">
        <f t="shared" si="68"/>
        <v/>
      </c>
      <c r="F98" s="9" t="str">
        <f t="shared" si="59"/>
        <v/>
      </c>
      <c r="CZ98" s="22"/>
      <c r="DA98" s="20">
        <f t="shared" si="69"/>
        <v>0</v>
      </c>
      <c r="DB98" s="20">
        <f t="shared" si="70"/>
        <v>0</v>
      </c>
    </row>
    <row r="99" spans="2:106" s="20" customFormat="1" hidden="1" x14ac:dyDescent="0.25">
      <c r="B99" s="20" t="str">
        <f t="shared" si="63"/>
        <v/>
      </c>
      <c r="C99" s="27"/>
      <c r="D99" s="20" t="str">
        <f t="shared" si="67"/>
        <v/>
      </c>
      <c r="E99" s="5" t="str">
        <f t="shared" si="68"/>
        <v/>
      </c>
      <c r="F99" s="9" t="str">
        <f t="shared" si="59"/>
        <v/>
      </c>
      <c r="CZ99" s="22"/>
      <c r="DA99" s="20">
        <f t="shared" si="69"/>
        <v>1</v>
      </c>
      <c r="DB99" s="20">
        <f t="shared" si="70"/>
        <v>0</v>
      </c>
    </row>
    <row r="100" spans="2:106" s="20" customFormat="1" hidden="1" x14ac:dyDescent="0.25">
      <c r="B100" s="10" t="str">
        <f t="shared" ref="B100" si="79">B99</f>
        <v/>
      </c>
      <c r="C100" s="27"/>
      <c r="D100" s="20" t="str">
        <f t="shared" si="67"/>
        <v/>
      </c>
      <c r="E100" s="5" t="str">
        <f t="shared" si="68"/>
        <v/>
      </c>
      <c r="F100" s="9" t="str">
        <f t="shared" si="59"/>
        <v/>
      </c>
      <c r="CZ100" s="22"/>
      <c r="DA100" s="20">
        <f t="shared" si="69"/>
        <v>0</v>
      </c>
      <c r="DB100" s="20">
        <f t="shared" si="70"/>
        <v>0</v>
      </c>
    </row>
    <row r="101" spans="2:106" s="20" customFormat="1" hidden="1" x14ac:dyDescent="0.25">
      <c r="B101" s="20" t="str">
        <f t="shared" si="63"/>
        <v/>
      </c>
      <c r="C101" s="27"/>
      <c r="D101" s="20" t="str">
        <f t="shared" si="67"/>
        <v/>
      </c>
      <c r="E101" s="5" t="str">
        <f t="shared" si="68"/>
        <v/>
      </c>
      <c r="F101" s="9" t="str">
        <f t="shared" si="59"/>
        <v/>
      </c>
      <c r="CZ101" s="22"/>
      <c r="DA101" s="20">
        <f t="shared" si="69"/>
        <v>1</v>
      </c>
      <c r="DB101" s="20">
        <f t="shared" si="70"/>
        <v>0</v>
      </c>
    </row>
    <row r="102" spans="2:106" s="20" customFormat="1" hidden="1" x14ac:dyDescent="0.25">
      <c r="B102" s="10" t="str">
        <f t="shared" ref="B102" si="80">B101</f>
        <v/>
      </c>
      <c r="C102" s="27"/>
      <c r="D102" s="20" t="str">
        <f t="shared" si="67"/>
        <v/>
      </c>
      <c r="E102" s="5" t="str">
        <f t="shared" si="68"/>
        <v/>
      </c>
      <c r="F102" s="9" t="str">
        <f t="shared" si="59"/>
        <v/>
      </c>
      <c r="CZ102" s="22"/>
      <c r="DA102" s="20">
        <f t="shared" si="69"/>
        <v>0</v>
      </c>
      <c r="DB102" s="20">
        <f t="shared" si="70"/>
        <v>0</v>
      </c>
    </row>
    <row r="103" spans="2:106" s="20" customFormat="1" hidden="1" x14ac:dyDescent="0.25">
      <c r="B103" s="20" t="str">
        <f t="shared" si="63"/>
        <v/>
      </c>
      <c r="C103" s="27"/>
      <c r="D103" s="20" t="str">
        <f t="shared" si="67"/>
        <v/>
      </c>
      <c r="E103" s="5" t="str">
        <f t="shared" si="68"/>
        <v/>
      </c>
      <c r="F103" s="9" t="str">
        <f t="shared" si="59"/>
        <v/>
      </c>
      <c r="CZ103" s="22"/>
      <c r="DA103" s="20">
        <f t="shared" si="69"/>
        <v>1</v>
      </c>
      <c r="DB103" s="20">
        <f t="shared" si="70"/>
        <v>0</v>
      </c>
    </row>
    <row r="104" spans="2:106" s="20" customFormat="1" hidden="1" x14ac:dyDescent="0.25">
      <c r="B104" s="10" t="str">
        <f t="shared" ref="B104" si="81">B103</f>
        <v/>
      </c>
      <c r="C104" s="27"/>
      <c r="D104" s="20" t="str">
        <f t="shared" si="67"/>
        <v/>
      </c>
      <c r="E104" s="5" t="str">
        <f t="shared" si="68"/>
        <v/>
      </c>
      <c r="F104" s="9" t="str">
        <f t="shared" si="59"/>
        <v/>
      </c>
      <c r="CZ104" s="22"/>
      <c r="DA104" s="20">
        <f t="shared" si="69"/>
        <v>0</v>
      </c>
      <c r="DB104" s="20">
        <f t="shared" si="70"/>
        <v>0</v>
      </c>
    </row>
    <row r="105" spans="2:106" s="20" customFormat="1" hidden="1" x14ac:dyDescent="0.25">
      <c r="B105" s="20" t="str">
        <f t="shared" si="63"/>
        <v/>
      </c>
      <c r="C105" s="27"/>
      <c r="D105" s="20" t="str">
        <f t="shared" si="67"/>
        <v/>
      </c>
      <c r="E105" s="5" t="str">
        <f t="shared" si="68"/>
        <v/>
      </c>
      <c r="F105" s="9" t="str">
        <f t="shared" si="59"/>
        <v/>
      </c>
      <c r="CZ105" s="22"/>
      <c r="DA105" s="20">
        <f t="shared" si="69"/>
        <v>1</v>
      </c>
      <c r="DB105" s="20">
        <f t="shared" si="70"/>
        <v>0</v>
      </c>
    </row>
    <row r="106" spans="2:106" s="20" customFormat="1" hidden="1" x14ac:dyDescent="0.25">
      <c r="B106" s="10" t="str">
        <f t="shared" ref="B106" si="82">B105</f>
        <v/>
      </c>
      <c r="C106" s="27"/>
      <c r="D106" s="20" t="str">
        <f t="shared" si="67"/>
        <v/>
      </c>
      <c r="E106" s="5" t="str">
        <f t="shared" si="68"/>
        <v/>
      </c>
      <c r="F106" s="9" t="str">
        <f t="shared" si="59"/>
        <v/>
      </c>
      <c r="CZ106" s="22"/>
      <c r="DA106" s="20">
        <f t="shared" si="69"/>
        <v>0</v>
      </c>
      <c r="DB106" s="20">
        <f t="shared" si="70"/>
        <v>0</v>
      </c>
    </row>
    <row r="107" spans="2:106" s="20" customFormat="1" hidden="1" x14ac:dyDescent="0.25">
      <c r="B107" s="20" t="str">
        <f t="shared" si="63"/>
        <v/>
      </c>
      <c r="C107" s="27"/>
      <c r="D107" s="20" t="str">
        <f t="shared" si="67"/>
        <v/>
      </c>
      <c r="E107" s="5" t="str">
        <f t="shared" si="68"/>
        <v/>
      </c>
      <c r="F107" s="9" t="str">
        <f t="shared" si="59"/>
        <v/>
      </c>
      <c r="CZ107" s="22"/>
      <c r="DA107" s="20">
        <f t="shared" si="69"/>
        <v>1</v>
      </c>
      <c r="DB107" s="20">
        <f t="shared" si="70"/>
        <v>0</v>
      </c>
    </row>
    <row r="108" spans="2:106" s="20" customFormat="1" hidden="1" x14ac:dyDescent="0.25">
      <c r="B108" s="10" t="str">
        <f t="shared" ref="B108" si="83">B107</f>
        <v/>
      </c>
      <c r="C108" s="27"/>
      <c r="D108" s="20" t="str">
        <f t="shared" si="67"/>
        <v/>
      </c>
      <c r="E108" s="5" t="str">
        <f t="shared" si="68"/>
        <v/>
      </c>
      <c r="F108" s="9" t="str">
        <f t="shared" si="59"/>
        <v/>
      </c>
      <c r="CZ108" s="22"/>
      <c r="DA108" s="20">
        <f t="shared" si="69"/>
        <v>0</v>
      </c>
      <c r="DB108" s="20">
        <f t="shared" si="70"/>
        <v>0</v>
      </c>
    </row>
    <row r="109" spans="2:106" s="20" customFormat="1" hidden="1" x14ac:dyDescent="0.25">
      <c r="B109" s="20" t="str">
        <f t="shared" si="63"/>
        <v/>
      </c>
      <c r="C109" s="27"/>
      <c r="D109" s="20" t="str">
        <f t="shared" si="67"/>
        <v/>
      </c>
      <c r="E109" s="5" t="str">
        <f t="shared" si="68"/>
        <v/>
      </c>
      <c r="F109" s="9" t="str">
        <f t="shared" si="59"/>
        <v/>
      </c>
      <c r="CZ109" s="22"/>
      <c r="DA109" s="20">
        <f t="shared" si="69"/>
        <v>1</v>
      </c>
      <c r="DB109" s="20">
        <f t="shared" si="70"/>
        <v>0</v>
      </c>
    </row>
    <row r="110" spans="2:106" s="20" customFormat="1" hidden="1" x14ac:dyDescent="0.25">
      <c r="B110" s="10" t="str">
        <f t="shared" ref="B110" si="84">B109</f>
        <v/>
      </c>
      <c r="C110" s="27"/>
      <c r="D110" s="20" t="str">
        <f t="shared" si="67"/>
        <v/>
      </c>
      <c r="E110" s="5" t="str">
        <f t="shared" si="68"/>
        <v/>
      </c>
      <c r="F110" s="9" t="str">
        <f t="shared" si="59"/>
        <v/>
      </c>
      <c r="CZ110" s="22"/>
      <c r="DA110" s="20">
        <f t="shared" si="69"/>
        <v>0</v>
      </c>
      <c r="DB110" s="20">
        <f t="shared" si="70"/>
        <v>0</v>
      </c>
    </row>
    <row r="111" spans="2:106" s="20" customFormat="1" hidden="1" x14ac:dyDescent="0.25">
      <c r="B111" s="20" t="str">
        <f t="shared" si="63"/>
        <v/>
      </c>
      <c r="C111" s="27"/>
      <c r="D111" s="20" t="str">
        <f t="shared" si="67"/>
        <v/>
      </c>
      <c r="E111" s="5" t="str">
        <f t="shared" si="68"/>
        <v/>
      </c>
      <c r="F111" s="9" t="str">
        <f t="shared" si="59"/>
        <v/>
      </c>
      <c r="CZ111" s="22"/>
      <c r="DA111" s="20">
        <f t="shared" si="69"/>
        <v>1</v>
      </c>
      <c r="DB111" s="20">
        <f t="shared" si="70"/>
        <v>0</v>
      </c>
    </row>
    <row r="112" spans="2:106" s="20" customFormat="1" hidden="1" x14ac:dyDescent="0.25">
      <c r="B112" s="10" t="str">
        <f t="shared" ref="B112" si="85">B111</f>
        <v/>
      </c>
      <c r="C112" s="27"/>
      <c r="D112" s="20" t="str">
        <f t="shared" si="67"/>
        <v/>
      </c>
      <c r="E112" s="5" t="str">
        <f t="shared" si="68"/>
        <v/>
      </c>
      <c r="F112" s="9" t="str">
        <f t="shared" si="59"/>
        <v/>
      </c>
      <c r="CZ112" s="22"/>
      <c r="DA112" s="20">
        <f t="shared" si="69"/>
        <v>0</v>
      </c>
      <c r="DB112" s="20">
        <f t="shared" si="70"/>
        <v>0</v>
      </c>
    </row>
    <row r="113" spans="2:106" s="20" customFormat="1" hidden="1" x14ac:dyDescent="0.25">
      <c r="B113" s="20" t="str">
        <f t="shared" si="63"/>
        <v/>
      </c>
      <c r="C113" s="27"/>
      <c r="D113" s="20" t="str">
        <f t="shared" si="67"/>
        <v/>
      </c>
      <c r="E113" s="5" t="str">
        <f t="shared" si="68"/>
        <v/>
      </c>
      <c r="F113" s="9" t="str">
        <f t="shared" si="59"/>
        <v/>
      </c>
      <c r="CZ113" s="22"/>
      <c r="DA113" s="20">
        <f t="shared" si="69"/>
        <v>1</v>
      </c>
      <c r="DB113" s="20">
        <f t="shared" si="70"/>
        <v>0</v>
      </c>
    </row>
    <row r="114" spans="2:106" s="20" customFormat="1" hidden="1" x14ac:dyDescent="0.25">
      <c r="B114" s="10" t="str">
        <f t="shared" ref="B114" si="86">B113</f>
        <v/>
      </c>
      <c r="C114" s="27"/>
      <c r="D114" s="20" t="str">
        <f t="shared" si="67"/>
        <v/>
      </c>
      <c r="E114" s="5" t="str">
        <f t="shared" si="68"/>
        <v/>
      </c>
      <c r="F114" s="9" t="str">
        <f t="shared" si="59"/>
        <v/>
      </c>
      <c r="CZ114" s="22"/>
      <c r="DA114" s="20">
        <f t="shared" si="69"/>
        <v>0</v>
      </c>
      <c r="DB114" s="20">
        <f t="shared" si="70"/>
        <v>0</v>
      </c>
    </row>
    <row r="115" spans="2:106" s="20" customFormat="1" hidden="1" x14ac:dyDescent="0.25">
      <c r="B115" s="20" t="str">
        <f t="shared" si="63"/>
        <v/>
      </c>
      <c r="C115" s="27"/>
      <c r="D115" s="20" t="str">
        <f t="shared" si="67"/>
        <v/>
      </c>
      <c r="E115" s="5" t="str">
        <f t="shared" si="68"/>
        <v/>
      </c>
      <c r="F115" s="9" t="str">
        <f t="shared" si="59"/>
        <v/>
      </c>
      <c r="CZ115" s="22"/>
      <c r="DA115" s="20">
        <f t="shared" si="69"/>
        <v>1</v>
      </c>
      <c r="DB115" s="20">
        <f t="shared" si="70"/>
        <v>0</v>
      </c>
    </row>
    <row r="116" spans="2:106" s="20" customFormat="1" hidden="1" x14ac:dyDescent="0.25">
      <c r="B116" s="10" t="str">
        <f t="shared" ref="B116" si="87">B115</f>
        <v/>
      </c>
      <c r="C116" s="27"/>
      <c r="D116" s="20" t="str">
        <f t="shared" si="67"/>
        <v/>
      </c>
      <c r="E116" s="5" t="str">
        <f t="shared" si="68"/>
        <v/>
      </c>
      <c r="F116" s="9" t="str">
        <f t="shared" si="59"/>
        <v/>
      </c>
      <c r="CZ116" s="22"/>
      <c r="DA116" s="20">
        <f t="shared" si="69"/>
        <v>0</v>
      </c>
      <c r="DB116" s="20">
        <f t="shared" si="70"/>
        <v>0</v>
      </c>
    </row>
    <row r="117" spans="2:106" s="20" customFormat="1" hidden="1" x14ac:dyDescent="0.25">
      <c r="B117" s="20" t="str">
        <f t="shared" si="63"/>
        <v/>
      </c>
      <c r="C117" s="27"/>
      <c r="D117" s="20" t="str">
        <f t="shared" si="67"/>
        <v/>
      </c>
      <c r="E117" s="5" t="str">
        <f t="shared" si="68"/>
        <v/>
      </c>
      <c r="F117" s="9" t="str">
        <f t="shared" si="59"/>
        <v/>
      </c>
      <c r="CZ117" s="22"/>
      <c r="DA117" s="20">
        <f t="shared" si="69"/>
        <v>1</v>
      </c>
      <c r="DB117" s="20">
        <f t="shared" si="70"/>
        <v>0</v>
      </c>
    </row>
    <row r="118" spans="2:106" s="20" customFormat="1" hidden="1" x14ac:dyDescent="0.25">
      <c r="B118" s="10" t="str">
        <f t="shared" ref="B118" si="88">B117</f>
        <v/>
      </c>
      <c r="C118" s="27"/>
      <c r="D118" s="20" t="str">
        <f t="shared" si="67"/>
        <v/>
      </c>
      <c r="E118" s="5" t="str">
        <f t="shared" si="68"/>
        <v/>
      </c>
      <c r="F118" s="9" t="str">
        <f t="shared" si="59"/>
        <v/>
      </c>
      <c r="CZ118" s="22"/>
      <c r="DA118" s="20">
        <f t="shared" si="69"/>
        <v>0</v>
      </c>
      <c r="DB118" s="20">
        <f t="shared" si="70"/>
        <v>0</v>
      </c>
    </row>
    <row r="119" spans="2:106" s="20" customFormat="1" hidden="1" x14ac:dyDescent="0.25">
      <c r="B119" s="20" t="str">
        <f t="shared" si="63"/>
        <v/>
      </c>
      <c r="C119" s="27"/>
      <c r="D119" s="20" t="str">
        <f t="shared" si="67"/>
        <v/>
      </c>
      <c r="E119" s="5" t="str">
        <f t="shared" si="68"/>
        <v/>
      </c>
      <c r="F119" s="9" t="str">
        <f t="shared" si="59"/>
        <v/>
      </c>
      <c r="CZ119" s="22"/>
      <c r="DA119" s="20">
        <f t="shared" si="69"/>
        <v>1</v>
      </c>
      <c r="DB119" s="20">
        <f t="shared" si="70"/>
        <v>0</v>
      </c>
    </row>
    <row r="120" spans="2:106" s="20" customFormat="1" hidden="1" x14ac:dyDescent="0.25">
      <c r="B120" s="10" t="str">
        <f t="shared" ref="B120" si="89">B119</f>
        <v/>
      </c>
      <c r="C120" s="27"/>
      <c r="D120" s="20" t="str">
        <f t="shared" si="67"/>
        <v/>
      </c>
      <c r="E120" s="5" t="str">
        <f t="shared" si="68"/>
        <v/>
      </c>
      <c r="F120" s="9" t="str">
        <f t="shared" si="59"/>
        <v/>
      </c>
      <c r="CZ120" s="22"/>
      <c r="DA120" s="20">
        <f t="shared" si="69"/>
        <v>0</v>
      </c>
      <c r="DB120" s="20">
        <f t="shared" si="70"/>
        <v>0</v>
      </c>
    </row>
    <row r="121" spans="2:106" s="20" customFormat="1" hidden="1" x14ac:dyDescent="0.25">
      <c r="B121" s="20" t="str">
        <f t="shared" si="63"/>
        <v/>
      </c>
      <c r="C121" s="27"/>
      <c r="D121" s="20" t="str">
        <f t="shared" si="67"/>
        <v/>
      </c>
      <c r="E121" s="5" t="str">
        <f t="shared" si="68"/>
        <v/>
      </c>
      <c r="F121" s="9" t="str">
        <f t="shared" si="59"/>
        <v/>
      </c>
      <c r="CZ121" s="22"/>
      <c r="DA121" s="20">
        <f t="shared" si="69"/>
        <v>1</v>
      </c>
      <c r="DB121" s="20">
        <f t="shared" si="70"/>
        <v>0</v>
      </c>
    </row>
    <row r="122" spans="2:106" s="20" customFormat="1" hidden="1" x14ac:dyDescent="0.25">
      <c r="B122" s="10" t="str">
        <f t="shared" ref="B122" si="90">B121</f>
        <v/>
      </c>
      <c r="C122" s="27"/>
      <c r="D122" s="20" t="str">
        <f t="shared" si="67"/>
        <v/>
      </c>
      <c r="E122" s="5" t="str">
        <f t="shared" si="68"/>
        <v/>
      </c>
      <c r="F122" s="9" t="str">
        <f t="shared" si="59"/>
        <v/>
      </c>
      <c r="CZ122" s="22"/>
      <c r="DA122" s="20">
        <f t="shared" si="69"/>
        <v>0</v>
      </c>
      <c r="DB122" s="20">
        <f t="shared" si="70"/>
        <v>0</v>
      </c>
    </row>
    <row r="123" spans="2:106" s="20" customFormat="1" hidden="1" x14ac:dyDescent="0.25">
      <c r="B123" s="20" t="str">
        <f t="shared" si="63"/>
        <v/>
      </c>
      <c r="C123" s="27"/>
      <c r="D123" s="20" t="str">
        <f t="shared" si="67"/>
        <v/>
      </c>
      <c r="E123" s="5" t="str">
        <f t="shared" si="68"/>
        <v/>
      </c>
      <c r="F123" s="9" t="str">
        <f t="shared" si="59"/>
        <v/>
      </c>
      <c r="CZ123" s="22"/>
      <c r="DA123" s="20">
        <f t="shared" si="69"/>
        <v>1</v>
      </c>
      <c r="DB123" s="20">
        <f t="shared" si="70"/>
        <v>0</v>
      </c>
    </row>
    <row r="124" spans="2:106" s="20" customFormat="1" hidden="1" x14ac:dyDescent="0.25">
      <c r="B124" s="10" t="str">
        <f t="shared" ref="B124" si="91">B123</f>
        <v/>
      </c>
      <c r="C124" s="27"/>
      <c r="D124" s="20" t="str">
        <f t="shared" si="67"/>
        <v/>
      </c>
      <c r="E124" s="5" t="str">
        <f t="shared" si="68"/>
        <v/>
      </c>
      <c r="F124" s="9" t="str">
        <f t="shared" si="59"/>
        <v/>
      </c>
      <c r="CZ124" s="21"/>
      <c r="DA124" s="20">
        <f t="shared" si="69"/>
        <v>0</v>
      </c>
      <c r="DB124" s="20">
        <f t="shared" si="70"/>
        <v>0</v>
      </c>
    </row>
    <row r="125" spans="2:106" s="20" customFormat="1" hidden="1" x14ac:dyDescent="0.25">
      <c r="B125" s="20" t="str">
        <f t="shared" si="63"/>
        <v/>
      </c>
      <c r="C125" s="27"/>
      <c r="D125" s="20" t="str">
        <f t="shared" si="67"/>
        <v/>
      </c>
      <c r="E125" s="5" t="str">
        <f t="shared" si="68"/>
        <v/>
      </c>
      <c r="F125" s="9" t="str">
        <f t="shared" si="59"/>
        <v/>
      </c>
      <c r="CZ125" s="21"/>
      <c r="DA125" s="20">
        <f t="shared" si="69"/>
        <v>1</v>
      </c>
      <c r="DB125" s="20">
        <f t="shared" si="70"/>
        <v>0</v>
      </c>
    </row>
    <row r="126" spans="2:106" s="20" customFormat="1" hidden="1" x14ac:dyDescent="0.25">
      <c r="B126" s="10" t="str">
        <f t="shared" ref="B126" si="92">B125</f>
        <v/>
      </c>
      <c r="C126" s="27"/>
      <c r="D126" s="20" t="str">
        <f t="shared" si="67"/>
        <v/>
      </c>
      <c r="E126" s="5" t="str">
        <f t="shared" si="68"/>
        <v/>
      </c>
      <c r="F126" s="9" t="str">
        <f t="shared" si="59"/>
        <v/>
      </c>
      <c r="CZ126" s="21"/>
      <c r="DA126" s="20">
        <f t="shared" si="69"/>
        <v>0</v>
      </c>
      <c r="DB126" s="20">
        <f t="shared" si="70"/>
        <v>0</v>
      </c>
    </row>
    <row r="127" spans="2:106" s="20" customFormat="1" hidden="1" x14ac:dyDescent="0.25">
      <c r="B127" s="20" t="str">
        <f t="shared" si="63"/>
        <v/>
      </c>
      <c r="C127" s="27"/>
      <c r="D127" s="20" t="str">
        <f t="shared" si="67"/>
        <v/>
      </c>
      <c r="E127" s="5" t="str">
        <f t="shared" si="68"/>
        <v/>
      </c>
      <c r="F127" s="9" t="str">
        <f t="shared" si="59"/>
        <v/>
      </c>
      <c r="CZ127" s="21"/>
      <c r="DA127" s="20">
        <f t="shared" si="69"/>
        <v>1</v>
      </c>
      <c r="DB127" s="20">
        <f t="shared" si="70"/>
        <v>0</v>
      </c>
    </row>
    <row r="128" spans="2:106" s="20" customFormat="1" hidden="1" x14ac:dyDescent="0.25">
      <c r="B128" s="10" t="str">
        <f t="shared" ref="B128" si="93">B127</f>
        <v/>
      </c>
      <c r="C128" s="27"/>
      <c r="D128" s="20" t="str">
        <f t="shared" si="67"/>
        <v/>
      </c>
      <c r="E128" s="5" t="str">
        <f t="shared" si="68"/>
        <v/>
      </c>
      <c r="F128" s="9" t="str">
        <f t="shared" si="59"/>
        <v/>
      </c>
      <c r="CZ128" s="21"/>
      <c r="DA128" s="20">
        <f t="shared" si="69"/>
        <v>0</v>
      </c>
      <c r="DB128" s="20">
        <f t="shared" si="70"/>
        <v>0</v>
      </c>
    </row>
    <row r="129" spans="2:106" s="20" customFormat="1" hidden="1" x14ac:dyDescent="0.25">
      <c r="B129" s="20" t="str">
        <f t="shared" si="63"/>
        <v/>
      </c>
      <c r="C129" s="27"/>
      <c r="D129" s="20" t="str">
        <f t="shared" si="67"/>
        <v/>
      </c>
      <c r="E129" s="5" t="str">
        <f t="shared" si="68"/>
        <v/>
      </c>
      <c r="F129" s="9" t="str">
        <f t="shared" si="59"/>
        <v/>
      </c>
      <c r="CZ129" s="21"/>
      <c r="DA129" s="20">
        <f t="shared" si="69"/>
        <v>1</v>
      </c>
      <c r="DB129" s="20">
        <f t="shared" si="70"/>
        <v>0</v>
      </c>
    </row>
    <row r="130" spans="2:106" s="20" customFormat="1" hidden="1" x14ac:dyDescent="0.25">
      <c r="B130" s="10" t="str">
        <f t="shared" ref="B130" si="94">B129</f>
        <v/>
      </c>
      <c r="C130" s="27"/>
      <c r="D130" s="20" t="str">
        <f t="shared" si="67"/>
        <v/>
      </c>
      <c r="E130" s="5" t="str">
        <f t="shared" si="68"/>
        <v/>
      </c>
      <c r="F130" s="9" t="str">
        <f t="shared" si="59"/>
        <v/>
      </c>
      <c r="CZ130" s="21"/>
      <c r="DA130" s="20">
        <f t="shared" si="69"/>
        <v>0</v>
      </c>
      <c r="DB130" s="20">
        <f t="shared" si="70"/>
        <v>0</v>
      </c>
    </row>
    <row r="131" spans="2:106" s="20" customFormat="1" hidden="1" x14ac:dyDescent="0.25">
      <c r="B131" s="20" t="str">
        <f t="shared" si="63"/>
        <v/>
      </c>
      <c r="C131" s="27"/>
      <c r="D131" s="20" t="str">
        <f t="shared" si="67"/>
        <v/>
      </c>
      <c r="E131" s="5" t="str">
        <f t="shared" si="68"/>
        <v/>
      </c>
      <c r="F131" s="9" t="str">
        <f t="shared" si="59"/>
        <v/>
      </c>
      <c r="CZ131" s="21"/>
      <c r="DA131" s="20">
        <f t="shared" si="69"/>
        <v>1</v>
      </c>
      <c r="DB131" s="20">
        <f t="shared" si="70"/>
        <v>0</v>
      </c>
    </row>
    <row r="132" spans="2:106" s="20" customFormat="1" hidden="1" x14ac:dyDescent="0.25">
      <c r="B132" s="10" t="str">
        <f t="shared" ref="B132" si="95">B131</f>
        <v/>
      </c>
      <c r="C132" s="27"/>
      <c r="D132" s="20" t="str">
        <f t="shared" si="67"/>
        <v/>
      </c>
      <c r="E132" s="5" t="str">
        <f t="shared" si="68"/>
        <v/>
      </c>
      <c r="F132" s="9" t="str">
        <f t="shared" si="59"/>
        <v/>
      </c>
      <c r="CZ132" s="21"/>
      <c r="DA132" s="20">
        <f t="shared" si="69"/>
        <v>0</v>
      </c>
      <c r="DB132" s="20">
        <f t="shared" si="70"/>
        <v>0</v>
      </c>
    </row>
    <row r="133" spans="2:106" s="20" customFormat="1" hidden="1" x14ac:dyDescent="0.25">
      <c r="B133" s="20" t="str">
        <f t="shared" si="63"/>
        <v/>
      </c>
      <c r="C133" s="27"/>
      <c r="D133" s="20" t="str">
        <f t="shared" si="67"/>
        <v/>
      </c>
      <c r="E133" s="5" t="str">
        <f t="shared" si="68"/>
        <v/>
      </c>
      <c r="F133" s="9" t="str">
        <f t="shared" si="59"/>
        <v/>
      </c>
      <c r="CZ133" s="21"/>
      <c r="DA133" s="20">
        <f t="shared" si="69"/>
        <v>1</v>
      </c>
      <c r="DB133" s="20">
        <f t="shared" si="70"/>
        <v>0</v>
      </c>
    </row>
    <row r="134" spans="2:106" s="20" customFormat="1" hidden="1" x14ac:dyDescent="0.25">
      <c r="B134" s="10" t="str">
        <f t="shared" ref="B134" si="96">B133</f>
        <v/>
      </c>
      <c r="C134" s="27"/>
      <c r="D134" s="20" t="str">
        <f t="shared" si="67"/>
        <v/>
      </c>
      <c r="E134" s="5" t="str">
        <f t="shared" si="68"/>
        <v/>
      </c>
      <c r="F134" s="9" t="str">
        <f t="shared" si="59"/>
        <v/>
      </c>
      <c r="CZ134" s="21"/>
      <c r="DA134" s="20">
        <f t="shared" si="69"/>
        <v>0</v>
      </c>
      <c r="DB134" s="20">
        <f t="shared" si="70"/>
        <v>0</v>
      </c>
    </row>
    <row r="135" spans="2:106" s="20" customFormat="1" hidden="1" x14ac:dyDescent="0.25">
      <c r="B135" s="20" t="str">
        <f t="shared" si="63"/>
        <v/>
      </c>
      <c r="C135" s="27"/>
      <c r="D135" s="20" t="str">
        <f t="shared" si="67"/>
        <v/>
      </c>
      <c r="E135" s="5" t="str">
        <f t="shared" si="68"/>
        <v/>
      </c>
      <c r="F135" s="9" t="str">
        <f t="shared" ref="F135:F198" si="97">IF(A135&lt;&gt;"",IFERROR(E135+D135-1,""),"")</f>
        <v/>
      </c>
      <c r="CZ135" s="21"/>
      <c r="DA135" s="20">
        <f t="shared" si="69"/>
        <v>1</v>
      </c>
      <c r="DB135" s="20">
        <f t="shared" si="70"/>
        <v>0</v>
      </c>
    </row>
    <row r="136" spans="2:106" s="20" customFormat="1" hidden="1" x14ac:dyDescent="0.25">
      <c r="B136" s="10" t="str">
        <f t="shared" ref="B136" si="98">B135</f>
        <v/>
      </c>
      <c r="C136" s="27"/>
      <c r="D136" s="20" t="str">
        <f t="shared" si="67"/>
        <v/>
      </c>
      <c r="E136" s="5" t="str">
        <f t="shared" si="68"/>
        <v/>
      </c>
      <c r="F136" s="9" t="str">
        <f t="shared" si="97"/>
        <v/>
      </c>
      <c r="CZ136" s="21"/>
      <c r="DA136" s="20">
        <f t="shared" si="69"/>
        <v>0</v>
      </c>
      <c r="DB136" s="20">
        <f t="shared" si="70"/>
        <v>0</v>
      </c>
    </row>
    <row r="137" spans="2:106" s="20" customFormat="1" hidden="1" x14ac:dyDescent="0.25">
      <c r="B137" s="20" t="str">
        <f t="shared" si="63"/>
        <v/>
      </c>
      <c r="C137" s="27"/>
      <c r="D137" s="20" t="str">
        <f t="shared" si="67"/>
        <v/>
      </c>
      <c r="E137" s="5" t="str">
        <f t="shared" si="68"/>
        <v/>
      </c>
      <c r="F137" s="9" t="str">
        <f t="shared" si="97"/>
        <v/>
      </c>
      <c r="CZ137" s="21"/>
      <c r="DA137" s="20">
        <f t="shared" si="69"/>
        <v>1</v>
      </c>
      <c r="DB137" s="20">
        <f t="shared" si="70"/>
        <v>0</v>
      </c>
    </row>
    <row r="138" spans="2:106" s="20" customFormat="1" hidden="1" x14ac:dyDescent="0.25">
      <c r="B138" s="10" t="str">
        <f t="shared" ref="B138" si="99">B137</f>
        <v/>
      </c>
      <c r="C138" s="27"/>
      <c r="D138" s="20" t="str">
        <f t="shared" si="67"/>
        <v/>
      </c>
      <c r="E138" s="5" t="str">
        <f t="shared" si="68"/>
        <v/>
      </c>
      <c r="F138" s="9" t="str">
        <f t="shared" si="97"/>
        <v/>
      </c>
      <c r="CZ138" s="21"/>
      <c r="DA138" s="20">
        <f t="shared" si="69"/>
        <v>0</v>
      </c>
      <c r="DB138" s="20">
        <f t="shared" si="70"/>
        <v>0</v>
      </c>
    </row>
    <row r="139" spans="2:106" s="20" customFormat="1" hidden="1" x14ac:dyDescent="0.25">
      <c r="B139" s="20" t="str">
        <f t="shared" si="63"/>
        <v/>
      </c>
      <c r="C139" s="27"/>
      <c r="D139" s="20" t="str">
        <f t="shared" si="67"/>
        <v/>
      </c>
      <c r="E139" s="5" t="str">
        <f t="shared" si="68"/>
        <v/>
      </c>
      <c r="F139" s="9" t="str">
        <f t="shared" si="97"/>
        <v/>
      </c>
      <c r="CZ139" s="21"/>
      <c r="DA139" s="20">
        <f t="shared" si="69"/>
        <v>1</v>
      </c>
      <c r="DB139" s="20">
        <f t="shared" si="70"/>
        <v>0</v>
      </c>
    </row>
    <row r="140" spans="2:106" s="20" customFormat="1" hidden="1" x14ac:dyDescent="0.25">
      <c r="B140" s="10" t="str">
        <f t="shared" ref="B140" si="100">B139</f>
        <v/>
      </c>
      <c r="C140" s="27"/>
      <c r="D140" s="20" t="str">
        <f t="shared" si="67"/>
        <v/>
      </c>
      <c r="E140" s="5" t="str">
        <f t="shared" si="68"/>
        <v/>
      </c>
      <c r="F140" s="9" t="str">
        <f t="shared" si="97"/>
        <v/>
      </c>
      <c r="CZ140" s="21"/>
      <c r="DA140" s="20">
        <f t="shared" si="69"/>
        <v>0</v>
      </c>
      <c r="DB140" s="20">
        <f t="shared" si="70"/>
        <v>0</v>
      </c>
    </row>
    <row r="141" spans="2:106" s="20" customFormat="1" hidden="1" x14ac:dyDescent="0.25">
      <c r="B141" s="20" t="str">
        <f t="shared" ref="B141:B147" si="101">IF(A141&lt;&gt;"",IF(A141-INT(A141)=0,1,0),"")</f>
        <v/>
      </c>
      <c r="C141" s="27"/>
      <c r="D141" s="20" t="str">
        <f t="shared" si="67"/>
        <v/>
      </c>
      <c r="E141" s="5" t="str">
        <f t="shared" si="68"/>
        <v/>
      </c>
      <c r="F141" s="9" t="str">
        <f t="shared" si="97"/>
        <v/>
      </c>
      <c r="CZ141" s="21"/>
      <c r="DA141" s="20">
        <f t="shared" si="69"/>
        <v>1</v>
      </c>
      <c r="DB141" s="20">
        <f t="shared" si="70"/>
        <v>0</v>
      </c>
    </row>
    <row r="142" spans="2:106" s="20" customFormat="1" hidden="1" x14ac:dyDescent="0.25">
      <c r="B142" s="10" t="str">
        <f t="shared" ref="B142" si="102">B141</f>
        <v/>
      </c>
      <c r="C142" s="27"/>
      <c r="D142" s="20" t="str">
        <f t="shared" si="67"/>
        <v/>
      </c>
      <c r="E142" s="5" t="str">
        <f t="shared" si="68"/>
        <v/>
      </c>
      <c r="F142" s="9" t="str">
        <f t="shared" si="97"/>
        <v/>
      </c>
      <c r="CZ142" s="21"/>
      <c r="DA142" s="20">
        <f t="shared" si="69"/>
        <v>0</v>
      </c>
      <c r="DB142" s="20">
        <f t="shared" si="70"/>
        <v>0</v>
      </c>
    </row>
    <row r="143" spans="2:106" s="20" customFormat="1" hidden="1" x14ac:dyDescent="0.25">
      <c r="B143" s="20" t="str">
        <f t="shared" si="101"/>
        <v/>
      </c>
      <c r="C143" s="27"/>
      <c r="D143" s="20" t="str">
        <f t="shared" si="67"/>
        <v/>
      </c>
      <c r="E143" s="5" t="str">
        <f t="shared" si="68"/>
        <v/>
      </c>
      <c r="F143" s="9" t="str">
        <f t="shared" si="97"/>
        <v/>
      </c>
      <c r="CZ143" s="21"/>
      <c r="DA143" s="20">
        <f t="shared" si="69"/>
        <v>1</v>
      </c>
      <c r="DB143" s="20">
        <f t="shared" si="70"/>
        <v>0</v>
      </c>
    </row>
    <row r="144" spans="2:106" s="20" customFormat="1" hidden="1" x14ac:dyDescent="0.25">
      <c r="B144" s="10" t="str">
        <f t="shared" ref="B144" si="103">B143</f>
        <v/>
      </c>
      <c r="C144" s="27"/>
      <c r="D144" s="20" t="str">
        <f t="shared" si="67"/>
        <v/>
      </c>
      <c r="E144" s="5" t="str">
        <f t="shared" si="68"/>
        <v/>
      </c>
      <c r="F144" s="9" t="str">
        <f t="shared" si="97"/>
        <v/>
      </c>
      <c r="CZ144" s="21"/>
      <c r="DA144" s="20">
        <f t="shared" si="69"/>
        <v>0</v>
      </c>
      <c r="DB144" s="20">
        <f t="shared" si="70"/>
        <v>0</v>
      </c>
    </row>
    <row r="145" spans="2:106" s="20" customFormat="1" hidden="1" x14ac:dyDescent="0.25">
      <c r="B145" s="20" t="str">
        <f t="shared" si="101"/>
        <v/>
      </c>
      <c r="C145" s="27"/>
      <c r="D145" s="20" t="str">
        <f t="shared" si="67"/>
        <v/>
      </c>
      <c r="E145" s="5" t="str">
        <f t="shared" si="68"/>
        <v/>
      </c>
      <c r="F145" s="9" t="str">
        <f t="shared" si="97"/>
        <v/>
      </c>
      <c r="CZ145" s="21"/>
      <c r="DA145" s="20">
        <f t="shared" si="69"/>
        <v>1</v>
      </c>
      <c r="DB145" s="20">
        <f t="shared" si="70"/>
        <v>0</v>
      </c>
    </row>
    <row r="146" spans="2:106" s="20" customFormat="1" hidden="1" x14ac:dyDescent="0.25">
      <c r="B146" s="10" t="str">
        <f t="shared" ref="B146" si="104">B145</f>
        <v/>
      </c>
      <c r="C146" s="27"/>
      <c r="D146" s="20" t="str">
        <f t="shared" ref="D146:D209" si="105">IF(A146&lt;&gt;"",_xlfn.DAYS(F146,E146),"")</f>
        <v/>
      </c>
      <c r="E146" s="5" t="str">
        <f t="shared" ref="E146:E209" si="106">IF(A146&lt;&gt;"",(MAX(IFERROR(1+VLOOKUP(H146,A$7:H$105,6),C$2),IFERROR(1+VLOOKUP(I146,A$7:H$105,6),C$2),IFERROR(1+VLOOKUP(J146,A$7:H$105,6),C$2),IFERROR(1+VLOOKUP(K146,A$7:H$105,6),C$2))),"")</f>
        <v/>
      </c>
      <c r="F146" s="9" t="str">
        <f t="shared" si="97"/>
        <v/>
      </c>
      <c r="CZ146" s="21"/>
      <c r="DA146" s="20">
        <f t="shared" ref="DA146:DA209" si="107">MOD(ROW(CZ146),2)</f>
        <v>0</v>
      </c>
      <c r="DB146" s="20">
        <f t="shared" ref="DB146:DB209" si="108">IF(A146=INT(A146),0,INT(A146))</f>
        <v>0</v>
      </c>
    </row>
    <row r="147" spans="2:106" s="20" customFormat="1" hidden="1" x14ac:dyDescent="0.25">
      <c r="B147" s="20" t="str">
        <f t="shared" si="101"/>
        <v/>
      </c>
      <c r="C147" s="27"/>
      <c r="D147" s="20" t="str">
        <f t="shared" si="105"/>
        <v/>
      </c>
      <c r="E147" s="5" t="str">
        <f t="shared" si="106"/>
        <v/>
      </c>
      <c r="F147" s="9" t="str">
        <f t="shared" si="97"/>
        <v/>
      </c>
      <c r="CZ147" s="21"/>
      <c r="DA147" s="20">
        <f t="shared" si="107"/>
        <v>1</v>
      </c>
      <c r="DB147" s="20">
        <f t="shared" si="108"/>
        <v>0</v>
      </c>
    </row>
    <row r="148" spans="2:106" s="20" customFormat="1" hidden="1" x14ac:dyDescent="0.25">
      <c r="B148" s="10" t="str">
        <f t="shared" ref="B148" si="109">B147</f>
        <v/>
      </c>
      <c r="C148" s="27"/>
      <c r="D148" s="20" t="str">
        <f t="shared" si="105"/>
        <v/>
      </c>
      <c r="E148" s="5" t="str">
        <f t="shared" si="106"/>
        <v/>
      </c>
      <c r="F148" s="9" t="str">
        <f t="shared" si="97"/>
        <v/>
      </c>
      <c r="CZ148" s="21"/>
      <c r="DA148" s="20">
        <f t="shared" si="107"/>
        <v>0</v>
      </c>
      <c r="DB148" s="20">
        <f t="shared" si="108"/>
        <v>0</v>
      </c>
    </row>
    <row r="149" spans="2:106" s="20" customFormat="1" hidden="1" x14ac:dyDescent="0.25">
      <c r="C149" s="27"/>
      <c r="D149" s="20" t="str">
        <f t="shared" si="105"/>
        <v/>
      </c>
      <c r="E149" s="5" t="str">
        <f t="shared" si="106"/>
        <v/>
      </c>
      <c r="F149" s="9" t="str">
        <f t="shared" si="97"/>
        <v/>
      </c>
      <c r="CZ149" s="21"/>
      <c r="DA149" s="20">
        <f t="shared" si="107"/>
        <v>1</v>
      </c>
      <c r="DB149" s="20">
        <f t="shared" si="108"/>
        <v>0</v>
      </c>
    </row>
    <row r="150" spans="2:106" s="20" customFormat="1" hidden="1" x14ac:dyDescent="0.25">
      <c r="C150" s="27"/>
      <c r="D150" s="20" t="str">
        <f t="shared" si="105"/>
        <v/>
      </c>
      <c r="E150" s="5" t="str">
        <f t="shared" si="106"/>
        <v/>
      </c>
      <c r="F150" s="9" t="str">
        <f t="shared" si="97"/>
        <v/>
      </c>
      <c r="CZ150" s="21"/>
      <c r="DA150" s="20">
        <f t="shared" si="107"/>
        <v>0</v>
      </c>
      <c r="DB150" s="20">
        <f t="shared" si="108"/>
        <v>0</v>
      </c>
    </row>
    <row r="151" spans="2:106" s="20" customFormat="1" hidden="1" x14ac:dyDescent="0.25">
      <c r="C151" s="27"/>
      <c r="D151" s="20" t="str">
        <f t="shared" si="105"/>
        <v/>
      </c>
      <c r="E151" s="5" t="str">
        <f t="shared" si="106"/>
        <v/>
      </c>
      <c r="F151" s="9" t="str">
        <f t="shared" si="97"/>
        <v/>
      </c>
      <c r="CZ151" s="21"/>
      <c r="DA151" s="20">
        <f t="shared" si="107"/>
        <v>1</v>
      </c>
      <c r="DB151" s="20">
        <f t="shared" si="108"/>
        <v>0</v>
      </c>
    </row>
    <row r="152" spans="2:106" s="20" customFormat="1" x14ac:dyDescent="0.25">
      <c r="C152" s="27"/>
      <c r="D152" s="20" t="str">
        <f t="shared" si="105"/>
        <v/>
      </c>
      <c r="E152" s="5" t="str">
        <f t="shared" si="106"/>
        <v/>
      </c>
      <c r="F152" s="9" t="str">
        <f t="shared" si="97"/>
        <v/>
      </c>
      <c r="CZ152" s="21"/>
      <c r="DA152" s="20">
        <f t="shared" si="107"/>
        <v>0</v>
      </c>
      <c r="DB152" s="20">
        <f t="shared" si="108"/>
        <v>0</v>
      </c>
    </row>
    <row r="153" spans="2:106" s="20" customFormat="1" x14ac:dyDescent="0.25">
      <c r="C153" s="27"/>
      <c r="D153" s="20" t="str">
        <f t="shared" si="105"/>
        <v/>
      </c>
      <c r="E153" s="5" t="str">
        <f t="shared" si="106"/>
        <v/>
      </c>
      <c r="F153" s="9" t="str">
        <f t="shared" si="97"/>
        <v/>
      </c>
      <c r="CZ153" s="21"/>
      <c r="DA153" s="20">
        <f t="shared" si="107"/>
        <v>1</v>
      </c>
      <c r="DB153" s="20">
        <f t="shared" si="108"/>
        <v>0</v>
      </c>
    </row>
    <row r="154" spans="2:106" s="20" customFormat="1" x14ac:dyDescent="0.25">
      <c r="C154" s="27"/>
      <c r="D154" s="20" t="str">
        <f t="shared" si="105"/>
        <v/>
      </c>
      <c r="E154" s="5" t="str">
        <f t="shared" si="106"/>
        <v/>
      </c>
      <c r="F154" s="9" t="str">
        <f t="shared" si="97"/>
        <v/>
      </c>
      <c r="CZ154" s="21"/>
      <c r="DA154" s="20">
        <f t="shared" si="107"/>
        <v>0</v>
      </c>
      <c r="DB154" s="20">
        <f t="shared" si="108"/>
        <v>0</v>
      </c>
    </row>
    <row r="155" spans="2:106" s="20" customFormat="1" x14ac:dyDescent="0.25">
      <c r="C155" s="27"/>
      <c r="D155" s="20" t="str">
        <f t="shared" si="105"/>
        <v/>
      </c>
      <c r="E155" s="5" t="str">
        <f t="shared" si="106"/>
        <v/>
      </c>
      <c r="F155" s="9" t="str">
        <f t="shared" si="97"/>
        <v/>
      </c>
      <c r="CZ155" s="21"/>
      <c r="DA155" s="20">
        <f t="shared" si="107"/>
        <v>1</v>
      </c>
      <c r="DB155" s="20">
        <f t="shared" si="108"/>
        <v>0</v>
      </c>
    </row>
    <row r="156" spans="2:106" s="20" customFormat="1" x14ac:dyDescent="0.25">
      <c r="C156" s="27"/>
      <c r="D156" s="20" t="str">
        <f t="shared" si="105"/>
        <v/>
      </c>
      <c r="E156" s="5" t="str">
        <f t="shared" si="106"/>
        <v/>
      </c>
      <c r="F156" s="9" t="str">
        <f t="shared" si="97"/>
        <v/>
      </c>
      <c r="CZ156" s="21"/>
      <c r="DA156" s="20">
        <f t="shared" si="107"/>
        <v>0</v>
      </c>
      <c r="DB156" s="20">
        <f t="shared" si="108"/>
        <v>0</v>
      </c>
    </row>
    <row r="157" spans="2:106" s="20" customFormat="1" x14ac:dyDescent="0.25">
      <c r="C157" s="27"/>
      <c r="D157" s="20" t="str">
        <f t="shared" si="105"/>
        <v/>
      </c>
      <c r="E157" s="5" t="str">
        <f t="shared" si="106"/>
        <v/>
      </c>
      <c r="F157" s="9" t="str">
        <f t="shared" si="97"/>
        <v/>
      </c>
      <c r="CZ157" s="21"/>
      <c r="DA157" s="20">
        <f t="shared" si="107"/>
        <v>1</v>
      </c>
      <c r="DB157" s="20">
        <f t="shared" si="108"/>
        <v>0</v>
      </c>
    </row>
    <row r="158" spans="2:106" s="20" customFormat="1" x14ac:dyDescent="0.25">
      <c r="C158" s="27"/>
      <c r="D158" s="20" t="str">
        <f t="shared" si="105"/>
        <v/>
      </c>
      <c r="E158" s="5" t="str">
        <f t="shared" si="106"/>
        <v/>
      </c>
      <c r="F158" s="9" t="str">
        <f t="shared" si="97"/>
        <v/>
      </c>
      <c r="CZ158" s="21"/>
      <c r="DA158" s="20">
        <f t="shared" si="107"/>
        <v>0</v>
      </c>
      <c r="DB158" s="20">
        <f t="shared" si="108"/>
        <v>0</v>
      </c>
    </row>
    <row r="159" spans="2:106" s="20" customFormat="1" x14ac:dyDescent="0.25">
      <c r="C159" s="27"/>
      <c r="D159" s="20" t="str">
        <f t="shared" si="105"/>
        <v/>
      </c>
      <c r="E159" s="5" t="str">
        <f t="shared" si="106"/>
        <v/>
      </c>
      <c r="F159" s="9" t="str">
        <f t="shared" si="97"/>
        <v/>
      </c>
      <c r="CZ159" s="21"/>
      <c r="DA159" s="20">
        <f t="shared" si="107"/>
        <v>1</v>
      </c>
      <c r="DB159" s="20">
        <f t="shared" si="108"/>
        <v>0</v>
      </c>
    </row>
    <row r="160" spans="2:106" s="20" customFormat="1" x14ac:dyDescent="0.25">
      <c r="C160" s="27"/>
      <c r="D160" s="20" t="str">
        <f t="shared" si="105"/>
        <v/>
      </c>
      <c r="E160" s="5" t="str">
        <f t="shared" si="106"/>
        <v/>
      </c>
      <c r="F160" s="9" t="str">
        <f t="shared" si="97"/>
        <v/>
      </c>
      <c r="CZ160" s="21"/>
      <c r="DA160" s="20">
        <f t="shared" si="107"/>
        <v>0</v>
      </c>
      <c r="DB160" s="20">
        <f t="shared" si="108"/>
        <v>0</v>
      </c>
    </row>
    <row r="161" spans="3:106" s="20" customFormat="1" x14ac:dyDescent="0.25">
      <c r="C161" s="27"/>
      <c r="D161" s="20" t="str">
        <f t="shared" si="105"/>
        <v/>
      </c>
      <c r="E161" s="5" t="str">
        <f t="shared" si="106"/>
        <v/>
      </c>
      <c r="F161" s="9" t="str">
        <f t="shared" si="97"/>
        <v/>
      </c>
      <c r="CZ161" s="21"/>
      <c r="DA161" s="20">
        <f t="shared" si="107"/>
        <v>1</v>
      </c>
      <c r="DB161" s="20">
        <f t="shared" si="108"/>
        <v>0</v>
      </c>
    </row>
    <row r="162" spans="3:106" s="20" customFormat="1" x14ac:dyDescent="0.25">
      <c r="C162" s="27"/>
      <c r="D162" s="20" t="str">
        <f t="shared" si="105"/>
        <v/>
      </c>
      <c r="E162" s="5" t="str">
        <f t="shared" si="106"/>
        <v/>
      </c>
      <c r="F162" s="9" t="str">
        <f t="shared" si="97"/>
        <v/>
      </c>
      <c r="CZ162" s="21"/>
      <c r="DA162" s="20">
        <f t="shared" si="107"/>
        <v>0</v>
      </c>
      <c r="DB162" s="20">
        <f t="shared" si="108"/>
        <v>0</v>
      </c>
    </row>
    <row r="163" spans="3:106" s="20" customFormat="1" x14ac:dyDescent="0.25">
      <c r="C163" s="27"/>
      <c r="D163" s="20" t="str">
        <f t="shared" si="105"/>
        <v/>
      </c>
      <c r="E163" s="5" t="str">
        <f t="shared" si="106"/>
        <v/>
      </c>
      <c r="F163" s="9" t="str">
        <f t="shared" si="97"/>
        <v/>
      </c>
      <c r="CZ163" s="21"/>
      <c r="DA163" s="20">
        <f t="shared" si="107"/>
        <v>1</v>
      </c>
      <c r="DB163" s="20">
        <f t="shared" si="108"/>
        <v>0</v>
      </c>
    </row>
    <row r="164" spans="3:106" s="20" customFormat="1" x14ac:dyDescent="0.25">
      <c r="C164" s="27"/>
      <c r="D164" s="20" t="str">
        <f t="shared" si="105"/>
        <v/>
      </c>
      <c r="E164" s="5" t="str">
        <f t="shared" si="106"/>
        <v/>
      </c>
      <c r="F164" s="9" t="str">
        <f t="shared" si="97"/>
        <v/>
      </c>
      <c r="CZ164" s="21"/>
      <c r="DA164" s="20">
        <f t="shared" si="107"/>
        <v>0</v>
      </c>
      <c r="DB164" s="20">
        <f t="shared" si="108"/>
        <v>0</v>
      </c>
    </row>
    <row r="165" spans="3:106" s="20" customFormat="1" x14ac:dyDescent="0.25">
      <c r="C165" s="27"/>
      <c r="D165" s="20" t="str">
        <f t="shared" si="105"/>
        <v/>
      </c>
      <c r="E165" s="5" t="str">
        <f t="shared" si="106"/>
        <v/>
      </c>
      <c r="F165" s="9" t="str">
        <f t="shared" si="97"/>
        <v/>
      </c>
      <c r="CZ165" s="21"/>
      <c r="DA165" s="20">
        <f t="shared" si="107"/>
        <v>1</v>
      </c>
      <c r="DB165" s="20">
        <f t="shared" si="108"/>
        <v>0</v>
      </c>
    </row>
    <row r="166" spans="3:106" s="20" customFormat="1" x14ac:dyDescent="0.25">
      <c r="C166" s="27"/>
      <c r="D166" s="20" t="str">
        <f t="shared" si="105"/>
        <v/>
      </c>
      <c r="E166" s="5" t="str">
        <f t="shared" si="106"/>
        <v/>
      </c>
      <c r="F166" s="9" t="str">
        <f t="shared" si="97"/>
        <v/>
      </c>
      <c r="CZ166" s="21"/>
      <c r="DA166" s="20">
        <f t="shared" si="107"/>
        <v>0</v>
      </c>
      <c r="DB166" s="20">
        <f t="shared" si="108"/>
        <v>0</v>
      </c>
    </row>
    <row r="167" spans="3:106" s="20" customFormat="1" x14ac:dyDescent="0.25">
      <c r="C167" s="27"/>
      <c r="D167" s="20" t="str">
        <f t="shared" si="105"/>
        <v/>
      </c>
      <c r="E167" s="5" t="str">
        <f t="shared" si="106"/>
        <v/>
      </c>
      <c r="F167" s="9" t="str">
        <f t="shared" si="97"/>
        <v/>
      </c>
      <c r="CZ167" s="21"/>
      <c r="DA167" s="20">
        <f t="shared" si="107"/>
        <v>1</v>
      </c>
      <c r="DB167" s="20">
        <f t="shared" si="108"/>
        <v>0</v>
      </c>
    </row>
    <row r="168" spans="3:106" s="20" customFormat="1" x14ac:dyDescent="0.25">
      <c r="C168" s="27"/>
      <c r="D168" s="20" t="str">
        <f t="shared" si="105"/>
        <v/>
      </c>
      <c r="E168" s="5" t="str">
        <f t="shared" si="106"/>
        <v/>
      </c>
      <c r="F168" s="9" t="str">
        <f t="shared" si="97"/>
        <v/>
      </c>
      <c r="CZ168" s="21"/>
      <c r="DA168" s="20">
        <f t="shared" si="107"/>
        <v>0</v>
      </c>
      <c r="DB168" s="20">
        <f t="shared" si="108"/>
        <v>0</v>
      </c>
    </row>
    <row r="169" spans="3:106" s="20" customFormat="1" x14ac:dyDescent="0.25">
      <c r="C169" s="27"/>
      <c r="D169" s="20" t="str">
        <f t="shared" si="105"/>
        <v/>
      </c>
      <c r="E169" s="5" t="str">
        <f t="shared" si="106"/>
        <v/>
      </c>
      <c r="F169" s="9" t="str">
        <f t="shared" si="97"/>
        <v/>
      </c>
      <c r="CZ169" s="21"/>
      <c r="DA169" s="20">
        <f t="shared" si="107"/>
        <v>1</v>
      </c>
      <c r="DB169" s="20">
        <f t="shared" si="108"/>
        <v>0</v>
      </c>
    </row>
    <row r="170" spans="3:106" s="20" customFormat="1" x14ac:dyDescent="0.25">
      <c r="C170" s="27"/>
      <c r="D170" s="20" t="str">
        <f t="shared" si="105"/>
        <v/>
      </c>
      <c r="E170" s="5" t="str">
        <f t="shared" si="106"/>
        <v/>
      </c>
      <c r="F170" s="9" t="str">
        <f t="shared" si="97"/>
        <v/>
      </c>
      <c r="CZ170" s="21"/>
      <c r="DA170" s="20">
        <f t="shared" si="107"/>
        <v>0</v>
      </c>
      <c r="DB170" s="20">
        <f t="shared" si="108"/>
        <v>0</v>
      </c>
    </row>
    <row r="171" spans="3:106" s="20" customFormat="1" x14ac:dyDescent="0.25">
      <c r="C171" s="27"/>
      <c r="D171" s="20" t="str">
        <f t="shared" si="105"/>
        <v/>
      </c>
      <c r="E171" s="5" t="str">
        <f t="shared" si="106"/>
        <v/>
      </c>
      <c r="F171" s="9" t="str">
        <f t="shared" si="97"/>
        <v/>
      </c>
      <c r="CZ171" s="21"/>
      <c r="DA171" s="20">
        <f t="shared" si="107"/>
        <v>1</v>
      </c>
      <c r="DB171" s="20">
        <f t="shared" si="108"/>
        <v>0</v>
      </c>
    </row>
    <row r="172" spans="3:106" s="20" customFormat="1" x14ac:dyDescent="0.25">
      <c r="C172" s="27"/>
      <c r="D172" s="20" t="str">
        <f t="shared" si="105"/>
        <v/>
      </c>
      <c r="E172" s="5" t="str">
        <f t="shared" si="106"/>
        <v/>
      </c>
      <c r="F172" s="9" t="str">
        <f t="shared" si="97"/>
        <v/>
      </c>
      <c r="CZ172" s="21"/>
      <c r="DA172" s="20">
        <f t="shared" si="107"/>
        <v>0</v>
      </c>
      <c r="DB172" s="20">
        <f t="shared" si="108"/>
        <v>0</v>
      </c>
    </row>
    <row r="173" spans="3:106" s="20" customFormat="1" x14ac:dyDescent="0.25">
      <c r="C173" s="27"/>
      <c r="D173" s="20" t="str">
        <f t="shared" si="105"/>
        <v/>
      </c>
      <c r="E173" s="5" t="str">
        <f t="shared" si="106"/>
        <v/>
      </c>
      <c r="F173" s="9" t="str">
        <f t="shared" si="97"/>
        <v/>
      </c>
      <c r="CZ173" s="21"/>
      <c r="DA173" s="20">
        <f t="shared" si="107"/>
        <v>1</v>
      </c>
      <c r="DB173" s="20">
        <f t="shared" si="108"/>
        <v>0</v>
      </c>
    </row>
    <row r="174" spans="3:106" s="20" customFormat="1" x14ac:dyDescent="0.25">
      <c r="C174" s="27"/>
      <c r="D174" s="20" t="str">
        <f t="shared" si="105"/>
        <v/>
      </c>
      <c r="E174" s="5" t="str">
        <f t="shared" si="106"/>
        <v/>
      </c>
      <c r="F174" s="9" t="str">
        <f t="shared" si="97"/>
        <v/>
      </c>
      <c r="CZ174" s="21"/>
      <c r="DA174" s="20">
        <f t="shared" si="107"/>
        <v>0</v>
      </c>
      <c r="DB174" s="20">
        <f t="shared" si="108"/>
        <v>0</v>
      </c>
    </row>
    <row r="175" spans="3:106" x14ac:dyDescent="0.25">
      <c r="D175" s="1" t="str">
        <f t="shared" si="105"/>
        <v/>
      </c>
      <c r="E175" s="19" t="str">
        <f t="shared" si="106"/>
        <v/>
      </c>
      <c r="F175" s="14" t="str">
        <f t="shared" si="97"/>
        <v/>
      </c>
      <c r="G175" s="20"/>
      <c r="DA175" s="20">
        <f t="shared" si="107"/>
        <v>1</v>
      </c>
      <c r="DB175" s="20">
        <f t="shared" si="108"/>
        <v>0</v>
      </c>
    </row>
    <row r="176" spans="3:106" x14ac:dyDescent="0.25">
      <c r="D176" s="1" t="str">
        <f t="shared" si="105"/>
        <v/>
      </c>
      <c r="E176" s="5" t="str">
        <f t="shared" si="106"/>
        <v/>
      </c>
      <c r="F176" s="9" t="str">
        <f t="shared" si="97"/>
        <v/>
      </c>
      <c r="G176" s="20"/>
      <c r="DA176" s="20">
        <f t="shared" si="107"/>
        <v>0</v>
      </c>
      <c r="DB176" s="20">
        <f t="shared" si="108"/>
        <v>0</v>
      </c>
    </row>
    <row r="177" spans="4:106" x14ac:dyDescent="0.25">
      <c r="D177" s="1" t="str">
        <f t="shared" si="105"/>
        <v/>
      </c>
      <c r="E177" s="5" t="str">
        <f t="shared" si="106"/>
        <v/>
      </c>
      <c r="F177" s="9" t="str">
        <f t="shared" si="97"/>
        <v/>
      </c>
      <c r="G177" s="20">
        <v>0</v>
      </c>
      <c r="DA177" s="20">
        <f t="shared" si="107"/>
        <v>1</v>
      </c>
      <c r="DB177" s="20">
        <f t="shared" si="108"/>
        <v>0</v>
      </c>
    </row>
    <row r="178" spans="4:106" x14ac:dyDescent="0.25">
      <c r="D178" s="1" t="str">
        <f t="shared" si="105"/>
        <v/>
      </c>
      <c r="E178" s="5" t="str">
        <f t="shared" si="106"/>
        <v/>
      </c>
      <c r="F178" s="9" t="str">
        <f t="shared" si="97"/>
        <v/>
      </c>
      <c r="G178" s="20"/>
      <c r="DA178" s="20">
        <f t="shared" si="107"/>
        <v>0</v>
      </c>
      <c r="DB178" s="20">
        <f t="shared" si="108"/>
        <v>0</v>
      </c>
    </row>
    <row r="179" spans="4:106" x14ac:dyDescent="0.25">
      <c r="D179" s="1" t="str">
        <f t="shared" si="105"/>
        <v/>
      </c>
      <c r="E179" s="5" t="str">
        <f t="shared" si="106"/>
        <v/>
      </c>
      <c r="F179" s="9" t="str">
        <f t="shared" si="97"/>
        <v/>
      </c>
      <c r="G179" s="20">
        <v>0</v>
      </c>
      <c r="DA179" s="20">
        <f t="shared" si="107"/>
        <v>1</v>
      </c>
      <c r="DB179" s="20">
        <f t="shared" si="108"/>
        <v>0</v>
      </c>
    </row>
    <row r="180" spans="4:106" x14ac:dyDescent="0.25">
      <c r="D180" s="1" t="str">
        <f t="shared" si="105"/>
        <v/>
      </c>
      <c r="E180" s="5" t="str">
        <f t="shared" si="106"/>
        <v/>
      </c>
      <c r="F180" s="9" t="str">
        <f t="shared" si="97"/>
        <v/>
      </c>
      <c r="G180" s="20"/>
      <c r="DA180" s="20">
        <f t="shared" si="107"/>
        <v>0</v>
      </c>
      <c r="DB180" s="20">
        <f t="shared" si="108"/>
        <v>0</v>
      </c>
    </row>
    <row r="181" spans="4:106" x14ac:dyDescent="0.25">
      <c r="D181" s="1" t="str">
        <f t="shared" si="105"/>
        <v/>
      </c>
      <c r="E181" s="5" t="str">
        <f t="shared" si="106"/>
        <v/>
      </c>
      <c r="F181" s="9" t="str">
        <f t="shared" si="97"/>
        <v/>
      </c>
      <c r="G181" s="20">
        <v>0</v>
      </c>
      <c r="DA181" s="20">
        <f t="shared" si="107"/>
        <v>1</v>
      </c>
      <c r="DB181" s="20">
        <f t="shared" si="108"/>
        <v>0</v>
      </c>
    </row>
    <row r="182" spans="4:106" x14ac:dyDescent="0.25">
      <c r="D182" s="1" t="str">
        <f t="shared" si="105"/>
        <v/>
      </c>
      <c r="E182" s="5" t="str">
        <f t="shared" si="106"/>
        <v/>
      </c>
      <c r="F182" s="9" t="str">
        <f t="shared" si="97"/>
        <v/>
      </c>
      <c r="G182" s="20"/>
      <c r="DA182" s="20">
        <f t="shared" si="107"/>
        <v>0</v>
      </c>
      <c r="DB182" s="20">
        <f t="shared" si="108"/>
        <v>0</v>
      </c>
    </row>
    <row r="183" spans="4:106" x14ac:dyDescent="0.25">
      <c r="D183" s="1" t="str">
        <f t="shared" si="105"/>
        <v/>
      </c>
      <c r="E183" s="5" t="str">
        <f t="shared" si="106"/>
        <v/>
      </c>
      <c r="F183" s="9" t="str">
        <f t="shared" si="97"/>
        <v/>
      </c>
      <c r="G183" s="20">
        <v>0</v>
      </c>
      <c r="DA183" s="20">
        <f t="shared" si="107"/>
        <v>1</v>
      </c>
      <c r="DB183" s="20">
        <f t="shared" si="108"/>
        <v>0</v>
      </c>
    </row>
    <row r="184" spans="4:106" x14ac:dyDescent="0.25">
      <c r="D184" s="1" t="str">
        <f t="shared" si="105"/>
        <v/>
      </c>
      <c r="E184" s="5" t="str">
        <f t="shared" si="106"/>
        <v/>
      </c>
      <c r="F184" s="9" t="str">
        <f t="shared" si="97"/>
        <v/>
      </c>
      <c r="G184" s="20"/>
      <c r="DA184" s="20">
        <f t="shared" si="107"/>
        <v>0</v>
      </c>
      <c r="DB184" s="20">
        <f t="shared" si="108"/>
        <v>0</v>
      </c>
    </row>
    <row r="185" spans="4:106" x14ac:dyDescent="0.25">
      <c r="D185" s="1" t="str">
        <f t="shared" si="105"/>
        <v/>
      </c>
      <c r="E185" s="5" t="str">
        <f t="shared" si="106"/>
        <v/>
      </c>
      <c r="F185" s="9" t="str">
        <f t="shared" si="97"/>
        <v/>
      </c>
      <c r="G185" s="20">
        <v>0</v>
      </c>
      <c r="DA185" s="20">
        <f t="shared" si="107"/>
        <v>1</v>
      </c>
      <c r="DB185" s="20">
        <f t="shared" si="108"/>
        <v>0</v>
      </c>
    </row>
    <row r="186" spans="4:106" x14ac:dyDescent="0.25">
      <c r="D186" s="1" t="str">
        <f t="shared" si="105"/>
        <v/>
      </c>
      <c r="E186" s="5" t="str">
        <f t="shared" si="106"/>
        <v/>
      </c>
      <c r="F186" s="9" t="str">
        <f t="shared" si="97"/>
        <v/>
      </c>
      <c r="G186" s="20"/>
      <c r="DA186" s="20">
        <f t="shared" si="107"/>
        <v>0</v>
      </c>
      <c r="DB186" s="20">
        <f t="shared" si="108"/>
        <v>0</v>
      </c>
    </row>
    <row r="187" spans="4:106" x14ac:dyDescent="0.25">
      <c r="D187" s="1" t="str">
        <f t="shared" si="105"/>
        <v/>
      </c>
      <c r="E187" s="5" t="str">
        <f t="shared" si="106"/>
        <v/>
      </c>
      <c r="F187" s="9" t="str">
        <f t="shared" si="97"/>
        <v/>
      </c>
      <c r="G187" s="20">
        <v>0</v>
      </c>
      <c r="DA187" s="20">
        <f t="shared" si="107"/>
        <v>1</v>
      </c>
      <c r="DB187" s="20">
        <f t="shared" si="108"/>
        <v>0</v>
      </c>
    </row>
    <row r="188" spans="4:106" x14ac:dyDescent="0.25">
      <c r="D188" s="1" t="str">
        <f t="shared" si="105"/>
        <v/>
      </c>
      <c r="E188" s="5" t="str">
        <f t="shared" si="106"/>
        <v/>
      </c>
      <c r="F188" s="9" t="str">
        <f t="shared" si="97"/>
        <v/>
      </c>
      <c r="G188" s="20"/>
      <c r="DA188" s="20">
        <f t="shared" si="107"/>
        <v>0</v>
      </c>
      <c r="DB188" s="20">
        <f t="shared" si="108"/>
        <v>0</v>
      </c>
    </row>
    <row r="189" spans="4:106" x14ac:dyDescent="0.25">
      <c r="D189" s="1" t="str">
        <f t="shared" si="105"/>
        <v/>
      </c>
      <c r="E189" s="5" t="str">
        <f t="shared" si="106"/>
        <v/>
      </c>
      <c r="F189" s="9" t="str">
        <f t="shared" si="97"/>
        <v/>
      </c>
      <c r="G189" s="20">
        <v>0</v>
      </c>
      <c r="DA189" s="20">
        <f t="shared" si="107"/>
        <v>1</v>
      </c>
      <c r="DB189" s="20">
        <f t="shared" si="108"/>
        <v>0</v>
      </c>
    </row>
    <row r="190" spans="4:106" x14ac:dyDescent="0.25">
      <c r="D190" s="1" t="str">
        <f t="shared" si="105"/>
        <v/>
      </c>
      <c r="E190" s="5" t="str">
        <f t="shared" si="106"/>
        <v/>
      </c>
      <c r="F190" s="9" t="str">
        <f t="shared" si="97"/>
        <v/>
      </c>
      <c r="G190" s="20"/>
      <c r="DA190" s="20">
        <f t="shared" si="107"/>
        <v>0</v>
      </c>
      <c r="DB190" s="20">
        <f t="shared" si="108"/>
        <v>0</v>
      </c>
    </row>
    <row r="191" spans="4:106" x14ac:dyDescent="0.25">
      <c r="D191" s="1" t="str">
        <f t="shared" si="105"/>
        <v/>
      </c>
      <c r="E191" s="5" t="str">
        <f t="shared" si="106"/>
        <v/>
      </c>
      <c r="F191" s="9" t="str">
        <f t="shared" si="97"/>
        <v/>
      </c>
      <c r="G191" s="20">
        <v>0</v>
      </c>
      <c r="DA191" s="20">
        <f t="shared" si="107"/>
        <v>1</v>
      </c>
      <c r="DB191" s="20">
        <f t="shared" si="108"/>
        <v>0</v>
      </c>
    </row>
    <row r="192" spans="4:106" x14ac:dyDescent="0.25">
      <c r="D192" s="1" t="str">
        <f t="shared" si="105"/>
        <v/>
      </c>
      <c r="E192" s="5" t="str">
        <f t="shared" si="106"/>
        <v/>
      </c>
      <c r="F192" s="9" t="str">
        <f t="shared" si="97"/>
        <v/>
      </c>
      <c r="G192" s="20"/>
      <c r="DA192" s="20">
        <f t="shared" si="107"/>
        <v>0</v>
      </c>
      <c r="DB192" s="20">
        <f t="shared" si="108"/>
        <v>0</v>
      </c>
    </row>
    <row r="193" spans="4:106" x14ac:dyDescent="0.25">
      <c r="D193" s="1" t="str">
        <f t="shared" si="105"/>
        <v/>
      </c>
      <c r="E193" s="5" t="str">
        <f t="shared" si="106"/>
        <v/>
      </c>
      <c r="F193" s="9" t="str">
        <f t="shared" si="97"/>
        <v/>
      </c>
      <c r="G193" s="20" t="e">
        <f ca="1">AVERAGEIF(DB$126:DB194,A193,G$126:G194)</f>
        <v>#DIV/0!</v>
      </c>
      <c r="DA193" s="20">
        <f t="shared" si="107"/>
        <v>1</v>
      </c>
      <c r="DB193" s="20">
        <f t="shared" si="108"/>
        <v>0</v>
      </c>
    </row>
    <row r="194" spans="4:106" x14ac:dyDescent="0.25">
      <c r="D194" s="1" t="str">
        <f t="shared" si="105"/>
        <v/>
      </c>
      <c r="E194" s="5" t="str">
        <f t="shared" si="106"/>
        <v/>
      </c>
      <c r="F194" s="9" t="str">
        <f t="shared" si="97"/>
        <v/>
      </c>
      <c r="G194" s="20" t="e">
        <f ca="1">AVERAGEIF(DB$126:DB195,A194,G$126:G195)</f>
        <v>#DIV/0!</v>
      </c>
      <c r="DA194" s="20">
        <f t="shared" si="107"/>
        <v>0</v>
      </c>
      <c r="DB194" s="20">
        <f t="shared" si="108"/>
        <v>0</v>
      </c>
    </row>
    <row r="195" spans="4:106" x14ac:dyDescent="0.25">
      <c r="D195" s="1" t="str">
        <f t="shared" si="105"/>
        <v/>
      </c>
      <c r="E195" s="5" t="str">
        <f t="shared" si="106"/>
        <v/>
      </c>
      <c r="F195" s="9" t="str">
        <f t="shared" si="97"/>
        <v/>
      </c>
      <c r="DA195" s="20">
        <f t="shared" si="107"/>
        <v>1</v>
      </c>
      <c r="DB195" s="20">
        <f t="shared" si="108"/>
        <v>0</v>
      </c>
    </row>
    <row r="196" spans="4:106" x14ac:dyDescent="0.25">
      <c r="D196" s="1" t="str">
        <f t="shared" si="105"/>
        <v/>
      </c>
      <c r="E196" s="5" t="str">
        <f t="shared" si="106"/>
        <v/>
      </c>
      <c r="F196" s="9" t="str">
        <f t="shared" si="97"/>
        <v/>
      </c>
      <c r="DA196" s="20">
        <f t="shared" si="107"/>
        <v>0</v>
      </c>
      <c r="DB196" s="20">
        <f t="shared" si="108"/>
        <v>0</v>
      </c>
    </row>
    <row r="197" spans="4:106" x14ac:dyDescent="0.25">
      <c r="D197" s="1" t="str">
        <f t="shared" si="105"/>
        <v/>
      </c>
      <c r="E197" s="5" t="str">
        <f t="shared" si="106"/>
        <v/>
      </c>
      <c r="F197" s="9" t="str">
        <f t="shared" si="97"/>
        <v/>
      </c>
      <c r="DA197" s="20">
        <f t="shared" si="107"/>
        <v>1</v>
      </c>
      <c r="DB197" s="20">
        <f t="shared" si="108"/>
        <v>0</v>
      </c>
    </row>
    <row r="198" spans="4:106" x14ac:dyDescent="0.25">
      <c r="D198" s="1" t="str">
        <f t="shared" si="105"/>
        <v/>
      </c>
      <c r="E198" s="5" t="str">
        <f t="shared" si="106"/>
        <v/>
      </c>
      <c r="F198" s="9" t="str">
        <f t="shared" si="97"/>
        <v/>
      </c>
      <c r="DA198" s="20">
        <f t="shared" si="107"/>
        <v>0</v>
      </c>
      <c r="DB198" s="20">
        <f t="shared" si="108"/>
        <v>0</v>
      </c>
    </row>
    <row r="199" spans="4:106" x14ac:dyDescent="0.25">
      <c r="D199" s="1" t="str">
        <f t="shared" si="105"/>
        <v/>
      </c>
      <c r="E199" s="5" t="str">
        <f t="shared" si="106"/>
        <v/>
      </c>
      <c r="F199" s="9" t="str">
        <f t="shared" ref="F199:F236" si="110">IF(A199&lt;&gt;"",IFERROR(E199+D199-1,""),"")</f>
        <v/>
      </c>
      <c r="DA199" s="20">
        <f t="shared" si="107"/>
        <v>1</v>
      </c>
      <c r="DB199" s="20">
        <f t="shared" si="108"/>
        <v>0</v>
      </c>
    </row>
    <row r="200" spans="4:106" x14ac:dyDescent="0.25">
      <c r="D200" s="1" t="str">
        <f t="shared" si="105"/>
        <v/>
      </c>
      <c r="E200" s="5" t="str">
        <f t="shared" si="106"/>
        <v/>
      </c>
      <c r="F200" s="9" t="str">
        <f t="shared" si="110"/>
        <v/>
      </c>
      <c r="DA200" s="20">
        <f t="shared" si="107"/>
        <v>0</v>
      </c>
      <c r="DB200" s="20">
        <f t="shared" si="108"/>
        <v>0</v>
      </c>
    </row>
    <row r="201" spans="4:106" x14ac:dyDescent="0.25">
      <c r="D201" s="1" t="str">
        <f t="shared" si="105"/>
        <v/>
      </c>
      <c r="E201" s="5" t="str">
        <f t="shared" si="106"/>
        <v/>
      </c>
      <c r="F201" s="9" t="str">
        <f t="shared" si="110"/>
        <v/>
      </c>
      <c r="DA201" s="20">
        <f t="shared" si="107"/>
        <v>1</v>
      </c>
      <c r="DB201" s="20">
        <f t="shared" si="108"/>
        <v>0</v>
      </c>
    </row>
    <row r="202" spans="4:106" x14ac:dyDescent="0.25">
      <c r="D202" s="1" t="str">
        <f t="shared" si="105"/>
        <v/>
      </c>
      <c r="E202" s="5" t="str">
        <f t="shared" si="106"/>
        <v/>
      </c>
      <c r="F202" s="9" t="str">
        <f t="shared" si="110"/>
        <v/>
      </c>
      <c r="DA202" s="20">
        <f t="shared" si="107"/>
        <v>0</v>
      </c>
      <c r="DB202" s="20">
        <f t="shared" si="108"/>
        <v>0</v>
      </c>
    </row>
    <row r="203" spans="4:106" x14ac:dyDescent="0.25">
      <c r="D203" s="1" t="str">
        <f t="shared" si="105"/>
        <v/>
      </c>
      <c r="E203" s="5" t="str">
        <f t="shared" si="106"/>
        <v/>
      </c>
      <c r="F203" s="9" t="str">
        <f t="shared" si="110"/>
        <v/>
      </c>
      <c r="DA203" s="20">
        <f t="shared" si="107"/>
        <v>1</v>
      </c>
      <c r="DB203" s="20">
        <f t="shared" si="108"/>
        <v>0</v>
      </c>
    </row>
    <row r="204" spans="4:106" x14ac:dyDescent="0.25">
      <c r="D204" s="1" t="str">
        <f t="shared" si="105"/>
        <v/>
      </c>
      <c r="E204" s="5" t="str">
        <f t="shared" si="106"/>
        <v/>
      </c>
      <c r="F204" s="9" t="str">
        <f t="shared" si="110"/>
        <v/>
      </c>
      <c r="DA204" s="20">
        <f t="shared" si="107"/>
        <v>0</v>
      </c>
      <c r="DB204" s="20">
        <f t="shared" si="108"/>
        <v>0</v>
      </c>
    </row>
    <row r="205" spans="4:106" x14ac:dyDescent="0.25">
      <c r="D205" s="1" t="str">
        <f t="shared" si="105"/>
        <v/>
      </c>
      <c r="E205" s="5" t="str">
        <f t="shared" si="106"/>
        <v/>
      </c>
      <c r="F205" s="9" t="str">
        <f t="shared" si="110"/>
        <v/>
      </c>
      <c r="DA205" s="20">
        <f t="shared" si="107"/>
        <v>1</v>
      </c>
      <c r="DB205" s="20">
        <f t="shared" si="108"/>
        <v>0</v>
      </c>
    </row>
    <row r="206" spans="4:106" x14ac:dyDescent="0.25">
      <c r="D206" s="1" t="str">
        <f t="shared" si="105"/>
        <v/>
      </c>
      <c r="E206" s="5" t="str">
        <f t="shared" si="106"/>
        <v/>
      </c>
      <c r="F206" s="9" t="str">
        <f t="shared" si="110"/>
        <v/>
      </c>
      <c r="DA206" s="20">
        <f t="shared" si="107"/>
        <v>0</v>
      </c>
      <c r="DB206" s="20">
        <f t="shared" si="108"/>
        <v>0</v>
      </c>
    </row>
    <row r="207" spans="4:106" x14ac:dyDescent="0.25">
      <c r="D207" s="1" t="str">
        <f t="shared" si="105"/>
        <v/>
      </c>
      <c r="E207" s="5" t="str">
        <f t="shared" si="106"/>
        <v/>
      </c>
      <c r="F207" s="9" t="str">
        <f t="shared" si="110"/>
        <v/>
      </c>
      <c r="DA207" s="20">
        <f t="shared" si="107"/>
        <v>1</v>
      </c>
      <c r="DB207" s="20">
        <f t="shared" si="108"/>
        <v>0</v>
      </c>
    </row>
    <row r="208" spans="4:106" x14ac:dyDescent="0.25">
      <c r="D208" s="1" t="str">
        <f t="shared" si="105"/>
        <v/>
      </c>
      <c r="E208" s="5" t="str">
        <f t="shared" si="106"/>
        <v/>
      </c>
      <c r="F208" s="9" t="str">
        <f t="shared" si="110"/>
        <v/>
      </c>
      <c r="DA208" s="20">
        <f t="shared" si="107"/>
        <v>0</v>
      </c>
      <c r="DB208" s="20">
        <f t="shared" si="108"/>
        <v>0</v>
      </c>
    </row>
    <row r="209" spans="4:106" x14ac:dyDescent="0.25">
      <c r="D209" s="1" t="str">
        <f t="shared" si="105"/>
        <v/>
      </c>
      <c r="E209" s="5" t="str">
        <f t="shared" si="106"/>
        <v/>
      </c>
      <c r="F209" s="9" t="str">
        <f t="shared" si="110"/>
        <v/>
      </c>
      <c r="DA209" s="20">
        <f t="shared" si="107"/>
        <v>1</v>
      </c>
      <c r="DB209" s="20">
        <f t="shared" si="108"/>
        <v>0</v>
      </c>
    </row>
    <row r="210" spans="4:106" x14ac:dyDescent="0.25">
      <c r="D210" s="1" t="str">
        <f t="shared" ref="D210:D235" si="111">IF(A210&lt;&gt;"",_xlfn.DAYS(F210,E210),"")</f>
        <v/>
      </c>
      <c r="E210" s="5" t="str">
        <f t="shared" ref="E210:E235" si="112">IF(A210&lt;&gt;"",(MAX(IFERROR(1+VLOOKUP(H210,A$7:H$105,6),C$2),IFERROR(1+VLOOKUP(I210,A$7:H$105,6),C$2),IFERROR(1+VLOOKUP(J210,A$7:H$105,6),C$2),IFERROR(1+VLOOKUP(K210,A$7:H$105,6),C$2))),"")</f>
        <v/>
      </c>
      <c r="F210" s="9" t="str">
        <f t="shared" si="110"/>
        <v/>
      </c>
      <c r="DA210" s="20">
        <f t="shared" ref="DA210:DA228" si="113">MOD(ROW(CZ210),2)</f>
        <v>0</v>
      </c>
      <c r="DB210" s="20">
        <f t="shared" ref="DB210:DB228" si="114">IF(A210=INT(A210),0,INT(A210))</f>
        <v>0</v>
      </c>
    </row>
    <row r="211" spans="4:106" x14ac:dyDescent="0.25">
      <c r="D211" s="1" t="str">
        <f t="shared" si="111"/>
        <v/>
      </c>
      <c r="E211" s="5" t="str">
        <f t="shared" si="112"/>
        <v/>
      </c>
      <c r="F211" s="9" t="str">
        <f t="shared" si="110"/>
        <v/>
      </c>
      <c r="DA211" s="20">
        <f t="shared" si="113"/>
        <v>1</v>
      </c>
      <c r="DB211" s="20">
        <f t="shared" si="114"/>
        <v>0</v>
      </c>
    </row>
    <row r="212" spans="4:106" x14ac:dyDescent="0.25">
      <c r="D212" s="1" t="str">
        <f t="shared" si="111"/>
        <v/>
      </c>
      <c r="E212" s="5" t="str">
        <f t="shared" si="112"/>
        <v/>
      </c>
      <c r="F212" s="9" t="str">
        <f t="shared" si="110"/>
        <v/>
      </c>
      <c r="DA212" s="20">
        <f t="shared" si="113"/>
        <v>0</v>
      </c>
      <c r="DB212" s="20">
        <f t="shared" si="114"/>
        <v>0</v>
      </c>
    </row>
    <row r="213" spans="4:106" x14ac:dyDescent="0.25">
      <c r="D213" s="1" t="str">
        <f t="shared" si="111"/>
        <v/>
      </c>
      <c r="E213" s="5" t="str">
        <f t="shared" si="112"/>
        <v/>
      </c>
      <c r="F213" s="9" t="str">
        <f t="shared" si="110"/>
        <v/>
      </c>
      <c r="DA213" s="20">
        <f t="shared" si="113"/>
        <v>1</v>
      </c>
      <c r="DB213" s="20">
        <f t="shared" si="114"/>
        <v>0</v>
      </c>
    </row>
    <row r="214" spans="4:106" x14ac:dyDescent="0.25">
      <c r="D214" s="1" t="str">
        <f t="shared" si="111"/>
        <v/>
      </c>
      <c r="E214" s="5" t="str">
        <f t="shared" si="112"/>
        <v/>
      </c>
      <c r="F214" s="9" t="str">
        <f t="shared" si="110"/>
        <v/>
      </c>
      <c r="DA214" s="20">
        <f t="shared" si="113"/>
        <v>0</v>
      </c>
      <c r="DB214" s="20">
        <f t="shared" si="114"/>
        <v>0</v>
      </c>
    </row>
    <row r="215" spans="4:106" x14ac:dyDescent="0.25">
      <c r="D215" s="1" t="str">
        <f t="shared" si="111"/>
        <v/>
      </c>
      <c r="E215" s="5" t="str">
        <f t="shared" si="112"/>
        <v/>
      </c>
      <c r="F215" s="9" t="str">
        <f t="shared" si="110"/>
        <v/>
      </c>
      <c r="DA215" s="20">
        <f t="shared" si="113"/>
        <v>1</v>
      </c>
      <c r="DB215" s="20">
        <f t="shared" si="114"/>
        <v>0</v>
      </c>
    </row>
    <row r="216" spans="4:106" x14ac:dyDescent="0.25">
      <c r="D216" s="1" t="str">
        <f t="shared" si="111"/>
        <v/>
      </c>
      <c r="E216" s="5" t="str">
        <f t="shared" si="112"/>
        <v/>
      </c>
      <c r="F216" s="9" t="str">
        <f t="shared" si="110"/>
        <v/>
      </c>
      <c r="DA216" s="20">
        <f t="shared" si="113"/>
        <v>0</v>
      </c>
      <c r="DB216" s="20">
        <f t="shared" si="114"/>
        <v>0</v>
      </c>
    </row>
    <row r="217" spans="4:106" x14ac:dyDescent="0.25">
      <c r="D217" s="1" t="str">
        <f t="shared" si="111"/>
        <v/>
      </c>
      <c r="E217" s="5" t="str">
        <f t="shared" si="112"/>
        <v/>
      </c>
      <c r="F217" s="9" t="str">
        <f t="shared" si="110"/>
        <v/>
      </c>
      <c r="DA217" s="20">
        <f t="shared" si="113"/>
        <v>1</v>
      </c>
      <c r="DB217" s="20">
        <f t="shared" si="114"/>
        <v>0</v>
      </c>
    </row>
    <row r="218" spans="4:106" x14ac:dyDescent="0.25">
      <c r="D218" s="1" t="str">
        <f t="shared" si="111"/>
        <v/>
      </c>
      <c r="E218" s="5" t="str">
        <f t="shared" si="112"/>
        <v/>
      </c>
      <c r="F218" s="9" t="str">
        <f t="shared" si="110"/>
        <v/>
      </c>
      <c r="DA218" s="20">
        <f t="shared" si="113"/>
        <v>0</v>
      </c>
      <c r="DB218" s="20">
        <f t="shared" si="114"/>
        <v>0</v>
      </c>
    </row>
    <row r="219" spans="4:106" x14ac:dyDescent="0.25">
      <c r="D219" s="1" t="str">
        <f t="shared" si="111"/>
        <v/>
      </c>
      <c r="E219" s="5" t="str">
        <f t="shared" si="112"/>
        <v/>
      </c>
      <c r="F219" s="9" t="str">
        <f t="shared" si="110"/>
        <v/>
      </c>
      <c r="DA219" s="20">
        <f t="shared" si="113"/>
        <v>1</v>
      </c>
      <c r="DB219" s="20">
        <f t="shared" si="114"/>
        <v>0</v>
      </c>
    </row>
    <row r="220" spans="4:106" x14ac:dyDescent="0.25">
      <c r="D220" s="1" t="str">
        <f t="shared" si="111"/>
        <v/>
      </c>
      <c r="E220" s="5" t="str">
        <f t="shared" si="112"/>
        <v/>
      </c>
      <c r="F220" s="9" t="str">
        <f t="shared" si="110"/>
        <v/>
      </c>
      <c r="DA220" s="20">
        <f t="shared" si="113"/>
        <v>0</v>
      </c>
      <c r="DB220" s="20">
        <f t="shared" si="114"/>
        <v>0</v>
      </c>
    </row>
    <row r="221" spans="4:106" x14ac:dyDescent="0.25">
      <c r="D221" s="1" t="str">
        <f t="shared" si="111"/>
        <v/>
      </c>
      <c r="E221" s="5" t="str">
        <f t="shared" si="112"/>
        <v/>
      </c>
      <c r="F221" s="9" t="str">
        <f t="shared" si="110"/>
        <v/>
      </c>
      <c r="DA221" s="20">
        <f t="shared" si="113"/>
        <v>1</v>
      </c>
      <c r="DB221" s="20">
        <f t="shared" si="114"/>
        <v>0</v>
      </c>
    </row>
    <row r="222" spans="4:106" x14ac:dyDescent="0.25">
      <c r="D222" s="1" t="str">
        <f t="shared" si="111"/>
        <v/>
      </c>
      <c r="E222" s="5" t="str">
        <f t="shared" si="112"/>
        <v/>
      </c>
      <c r="F222" s="9" t="str">
        <f t="shared" si="110"/>
        <v/>
      </c>
      <c r="DA222" s="20">
        <f t="shared" si="113"/>
        <v>0</v>
      </c>
      <c r="DB222" s="20">
        <f t="shared" si="114"/>
        <v>0</v>
      </c>
    </row>
    <row r="223" spans="4:106" x14ac:dyDescent="0.25">
      <c r="D223" s="1" t="str">
        <f t="shared" si="111"/>
        <v/>
      </c>
      <c r="E223" s="5" t="str">
        <f t="shared" si="112"/>
        <v/>
      </c>
      <c r="F223" s="9" t="str">
        <f t="shared" si="110"/>
        <v/>
      </c>
      <c r="DA223" s="20">
        <f t="shared" si="113"/>
        <v>1</v>
      </c>
      <c r="DB223" s="20">
        <f t="shared" si="114"/>
        <v>0</v>
      </c>
    </row>
    <row r="224" spans="4:106" x14ac:dyDescent="0.25">
      <c r="D224" s="1" t="str">
        <f t="shared" si="111"/>
        <v/>
      </c>
      <c r="E224" s="5" t="str">
        <f t="shared" si="112"/>
        <v/>
      </c>
      <c r="F224" s="9" t="str">
        <f t="shared" si="110"/>
        <v/>
      </c>
      <c r="DA224" s="20">
        <f t="shared" si="113"/>
        <v>0</v>
      </c>
      <c r="DB224" s="20">
        <f t="shared" si="114"/>
        <v>0</v>
      </c>
    </row>
    <row r="225" spans="4:106" x14ac:dyDescent="0.25">
      <c r="D225" s="1" t="str">
        <f t="shared" si="111"/>
        <v/>
      </c>
      <c r="E225" s="5" t="str">
        <f t="shared" si="112"/>
        <v/>
      </c>
      <c r="F225" s="9" t="str">
        <f t="shared" si="110"/>
        <v/>
      </c>
      <c r="DA225" s="20">
        <f t="shared" si="113"/>
        <v>1</v>
      </c>
      <c r="DB225" s="20">
        <f t="shared" si="114"/>
        <v>0</v>
      </c>
    </row>
    <row r="226" spans="4:106" x14ac:dyDescent="0.25">
      <c r="D226" s="1" t="str">
        <f t="shared" si="111"/>
        <v/>
      </c>
      <c r="E226" s="5" t="str">
        <f t="shared" si="112"/>
        <v/>
      </c>
      <c r="F226" s="9" t="str">
        <f t="shared" si="110"/>
        <v/>
      </c>
      <c r="DA226" s="20">
        <f t="shared" si="113"/>
        <v>0</v>
      </c>
      <c r="DB226" s="20">
        <f t="shared" si="114"/>
        <v>0</v>
      </c>
    </row>
    <row r="227" spans="4:106" x14ac:dyDescent="0.25">
      <c r="D227" s="1" t="str">
        <f t="shared" si="111"/>
        <v/>
      </c>
      <c r="E227" s="5" t="str">
        <f t="shared" si="112"/>
        <v/>
      </c>
      <c r="F227" s="9" t="str">
        <f t="shared" si="110"/>
        <v/>
      </c>
      <c r="DA227" s="20">
        <f t="shared" si="113"/>
        <v>1</v>
      </c>
      <c r="DB227" s="20">
        <f t="shared" si="114"/>
        <v>0</v>
      </c>
    </row>
    <row r="228" spans="4:106" x14ac:dyDescent="0.25">
      <c r="D228" s="1" t="str">
        <f t="shared" si="111"/>
        <v/>
      </c>
      <c r="E228" s="5" t="str">
        <f t="shared" si="112"/>
        <v/>
      </c>
      <c r="F228" s="9" t="str">
        <f t="shared" si="110"/>
        <v/>
      </c>
      <c r="DA228" s="20">
        <f t="shared" si="113"/>
        <v>0</v>
      </c>
      <c r="DB228" s="20">
        <f t="shared" si="114"/>
        <v>0</v>
      </c>
    </row>
    <row r="229" spans="4:106" x14ac:dyDescent="0.25">
      <c r="D229" s="1" t="str">
        <f t="shared" si="111"/>
        <v/>
      </c>
      <c r="E229" s="5" t="str">
        <f t="shared" si="112"/>
        <v/>
      </c>
      <c r="F229" s="9" t="str">
        <f t="shared" si="110"/>
        <v/>
      </c>
      <c r="DA229" s="1">
        <f t="shared" ref="DA229:DA278" si="115">MOD(ROW(CZ229),2)</f>
        <v>1</v>
      </c>
    </row>
    <row r="230" spans="4:106" x14ac:dyDescent="0.25">
      <c r="D230" s="1" t="str">
        <f t="shared" si="111"/>
        <v/>
      </c>
      <c r="E230" s="5" t="str">
        <f t="shared" si="112"/>
        <v/>
      </c>
      <c r="F230" s="9" t="str">
        <f t="shared" si="110"/>
        <v/>
      </c>
      <c r="DA230" s="1">
        <f t="shared" si="115"/>
        <v>0</v>
      </c>
    </row>
    <row r="231" spans="4:106" x14ac:dyDescent="0.25">
      <c r="D231" s="1" t="str">
        <f t="shared" si="111"/>
        <v/>
      </c>
      <c r="E231" s="5" t="str">
        <f t="shared" si="112"/>
        <v/>
      </c>
      <c r="F231" s="9" t="str">
        <f t="shared" si="110"/>
        <v/>
      </c>
      <c r="DA231" s="1">
        <f t="shared" si="115"/>
        <v>1</v>
      </c>
    </row>
    <row r="232" spans="4:106" x14ac:dyDescent="0.25">
      <c r="D232" s="1" t="str">
        <f t="shared" si="111"/>
        <v/>
      </c>
      <c r="E232" s="5" t="str">
        <f t="shared" si="112"/>
        <v/>
      </c>
      <c r="F232" s="9" t="str">
        <f t="shared" si="110"/>
        <v/>
      </c>
      <c r="DA232" s="1">
        <f t="shared" si="115"/>
        <v>0</v>
      </c>
    </row>
    <row r="233" spans="4:106" x14ac:dyDescent="0.25">
      <c r="D233" s="1" t="str">
        <f t="shared" si="111"/>
        <v/>
      </c>
      <c r="E233" s="5" t="str">
        <f t="shared" si="112"/>
        <v/>
      </c>
      <c r="F233" s="9" t="str">
        <f t="shared" si="110"/>
        <v/>
      </c>
      <c r="DA233" s="1">
        <f t="shared" si="115"/>
        <v>1</v>
      </c>
    </row>
    <row r="234" spans="4:106" x14ac:dyDescent="0.25">
      <c r="D234" s="1" t="str">
        <f t="shared" si="111"/>
        <v/>
      </c>
      <c r="E234" s="5" t="str">
        <f t="shared" si="112"/>
        <v/>
      </c>
      <c r="F234" s="9" t="str">
        <f t="shared" si="110"/>
        <v/>
      </c>
      <c r="DA234" s="1">
        <f t="shared" si="115"/>
        <v>0</v>
      </c>
    </row>
    <row r="235" spans="4:106" x14ac:dyDescent="0.25">
      <c r="D235" s="1" t="str">
        <f t="shared" si="111"/>
        <v/>
      </c>
      <c r="E235" s="5" t="str">
        <f t="shared" si="112"/>
        <v/>
      </c>
      <c r="F235" s="9" t="str">
        <f t="shared" si="110"/>
        <v/>
      </c>
      <c r="DA235" s="1">
        <f t="shared" si="115"/>
        <v>1</v>
      </c>
    </row>
    <row r="236" spans="4:106" x14ac:dyDescent="0.25">
      <c r="D236" s="1" t="e">
        <f t="shared" ref="D236:D242" si="116">_xlfn.DAYS(F236,E236)</f>
        <v>#VALUE!</v>
      </c>
      <c r="E236" s="5" t="str">
        <f t="shared" ref="E236:E247" si="117">IF(A236&lt;&gt;"",(MAX(IFERROR(1+VLOOKUP(H236,A$7:H$105,6),C$2),IFERROR(1+VLOOKUP(I236,A$7:H$105,6),C$2),IFERROR(1+VLOOKUP(J236,A$7:H$105,6),C$2),IFERROR(1+VLOOKUP(K236,A$7:H$105,6),C$2))),"")</f>
        <v/>
      </c>
      <c r="F236" s="9" t="str">
        <f t="shared" si="110"/>
        <v/>
      </c>
      <c r="DA236" s="1">
        <f t="shared" si="115"/>
        <v>0</v>
      </c>
    </row>
    <row r="237" spans="4:106" x14ac:dyDescent="0.25">
      <c r="D237" s="1">
        <f t="shared" ca="1" si="116"/>
        <v>0</v>
      </c>
      <c r="E237" s="5" t="str">
        <f t="shared" si="117"/>
        <v/>
      </c>
      <c r="F237" s="2" t="str">
        <f t="shared" ref="F237:F260" ca="1" si="118">IFERROR(E237+D237,"")</f>
        <v/>
      </c>
      <c r="DA237" s="1">
        <f t="shared" si="115"/>
        <v>1</v>
      </c>
    </row>
    <row r="238" spans="4:106" x14ac:dyDescent="0.25">
      <c r="D238" s="1">
        <f t="shared" ca="1" si="116"/>
        <v>0</v>
      </c>
      <c r="E238" s="5" t="str">
        <f t="shared" si="117"/>
        <v/>
      </c>
      <c r="F238" s="2" t="str">
        <f t="shared" ca="1" si="118"/>
        <v/>
      </c>
      <c r="DA238" s="1">
        <f t="shared" si="115"/>
        <v>0</v>
      </c>
    </row>
    <row r="239" spans="4:106" x14ac:dyDescent="0.25">
      <c r="D239" s="1">
        <f t="shared" ca="1" si="116"/>
        <v>0</v>
      </c>
      <c r="E239" s="5" t="str">
        <f t="shared" si="117"/>
        <v/>
      </c>
      <c r="F239" s="14" t="str">
        <f t="shared" ca="1" si="118"/>
        <v/>
      </c>
      <c r="DA239" s="1">
        <f t="shared" si="115"/>
        <v>1</v>
      </c>
    </row>
    <row r="240" spans="4:106" x14ac:dyDescent="0.25">
      <c r="D240" s="1">
        <f t="shared" ca="1" si="116"/>
        <v>0</v>
      </c>
      <c r="E240" s="5" t="str">
        <f t="shared" si="117"/>
        <v/>
      </c>
      <c r="F240" s="9" t="str">
        <f t="shared" ca="1" si="118"/>
        <v/>
      </c>
      <c r="DA240" s="1">
        <f t="shared" si="115"/>
        <v>0</v>
      </c>
    </row>
    <row r="241" spans="4:105" x14ac:dyDescent="0.25">
      <c r="D241" s="1">
        <f t="shared" ca="1" si="116"/>
        <v>0</v>
      </c>
      <c r="E241" s="5" t="str">
        <f t="shared" si="117"/>
        <v/>
      </c>
      <c r="F241" s="9" t="str">
        <f t="shared" ca="1" si="118"/>
        <v/>
      </c>
      <c r="DA241" s="1">
        <f t="shared" si="115"/>
        <v>1</v>
      </c>
    </row>
    <row r="242" spans="4:105" x14ac:dyDescent="0.25">
      <c r="D242" s="1">
        <f t="shared" ca="1" si="116"/>
        <v>0</v>
      </c>
      <c r="E242" s="5" t="str">
        <f t="shared" si="117"/>
        <v/>
      </c>
      <c r="F242" s="9" t="str">
        <f t="shared" ca="1" si="118"/>
        <v/>
      </c>
      <c r="DA242" s="1">
        <f t="shared" si="115"/>
        <v>0</v>
      </c>
    </row>
    <row r="243" spans="4:105" x14ac:dyDescent="0.25">
      <c r="E243" s="5" t="str">
        <f t="shared" si="117"/>
        <v/>
      </c>
      <c r="F243" s="9" t="str">
        <f t="shared" si="118"/>
        <v/>
      </c>
      <c r="DA243" s="1">
        <f t="shared" si="115"/>
        <v>1</v>
      </c>
    </row>
    <row r="244" spans="4:105" x14ac:dyDescent="0.25">
      <c r="E244" s="5" t="str">
        <f t="shared" si="117"/>
        <v/>
      </c>
      <c r="F244" s="9" t="str">
        <f t="shared" si="118"/>
        <v/>
      </c>
      <c r="DA244" s="1">
        <f t="shared" si="115"/>
        <v>0</v>
      </c>
    </row>
    <row r="245" spans="4:105" x14ac:dyDescent="0.25">
      <c r="E245" s="5" t="str">
        <f t="shared" si="117"/>
        <v/>
      </c>
      <c r="F245" s="9" t="str">
        <f t="shared" si="118"/>
        <v/>
      </c>
      <c r="DA245" s="1">
        <f t="shared" si="115"/>
        <v>1</v>
      </c>
    </row>
    <row r="246" spans="4:105" x14ac:dyDescent="0.25">
      <c r="E246" s="5" t="str">
        <f t="shared" si="117"/>
        <v/>
      </c>
      <c r="F246" s="9" t="str">
        <f t="shared" si="118"/>
        <v/>
      </c>
      <c r="DA246" s="1">
        <f t="shared" si="115"/>
        <v>0</v>
      </c>
    </row>
    <row r="247" spans="4:105" x14ac:dyDescent="0.25">
      <c r="E247" s="5" t="str">
        <f t="shared" si="117"/>
        <v/>
      </c>
      <c r="F247" s="9" t="str">
        <f t="shared" si="118"/>
        <v/>
      </c>
      <c r="DA247" s="1">
        <f t="shared" si="115"/>
        <v>1</v>
      </c>
    </row>
    <row r="248" spans="4:105" x14ac:dyDescent="0.25">
      <c r="E248" s="5" t="str">
        <f t="shared" ref="E248:E260" si="119">IF(A248&lt;&gt;"",(MAX(IFERROR(1+VLOOKUP(H248,A$7:H$105,6),C$2),IFERROR(1+VLOOKUP(I248,A$7:H$105,6),C$2),IFERROR(1+VLOOKUP(J248,A$7:H$105,6),C$2),IFERROR(1+VLOOKUP(K248,A$7:H$105,6),C$2))),"")</f>
        <v/>
      </c>
      <c r="F248" s="9" t="str">
        <f t="shared" si="118"/>
        <v/>
      </c>
      <c r="DA248" s="1">
        <f t="shared" si="115"/>
        <v>0</v>
      </c>
    </row>
    <row r="249" spans="4:105" x14ac:dyDescent="0.25">
      <c r="E249" s="5" t="str">
        <f t="shared" si="119"/>
        <v/>
      </c>
      <c r="F249" s="9" t="str">
        <f t="shared" si="118"/>
        <v/>
      </c>
      <c r="DA249" s="1">
        <f t="shared" si="115"/>
        <v>1</v>
      </c>
    </row>
    <row r="250" spans="4:105" x14ac:dyDescent="0.25">
      <c r="E250" s="5" t="str">
        <f t="shared" si="119"/>
        <v/>
      </c>
      <c r="F250" s="9" t="str">
        <f t="shared" si="118"/>
        <v/>
      </c>
      <c r="DA250" s="1">
        <f t="shared" si="115"/>
        <v>0</v>
      </c>
    </row>
    <row r="251" spans="4:105" x14ac:dyDescent="0.25">
      <c r="E251" s="5" t="str">
        <f t="shared" si="119"/>
        <v/>
      </c>
      <c r="F251" s="9" t="str">
        <f t="shared" si="118"/>
        <v/>
      </c>
      <c r="DA251" s="1">
        <f t="shared" si="115"/>
        <v>1</v>
      </c>
    </row>
    <row r="252" spans="4:105" x14ac:dyDescent="0.25">
      <c r="E252" s="5" t="str">
        <f t="shared" si="119"/>
        <v/>
      </c>
      <c r="F252" s="9" t="str">
        <f t="shared" si="118"/>
        <v/>
      </c>
      <c r="DA252" s="1">
        <f t="shared" si="115"/>
        <v>0</v>
      </c>
    </row>
    <row r="253" spans="4:105" x14ac:dyDescent="0.25">
      <c r="E253" s="5" t="str">
        <f t="shared" si="119"/>
        <v/>
      </c>
      <c r="F253" s="9" t="str">
        <f t="shared" si="118"/>
        <v/>
      </c>
      <c r="DA253" s="1">
        <f t="shared" si="115"/>
        <v>1</v>
      </c>
    </row>
    <row r="254" spans="4:105" x14ac:dyDescent="0.25">
      <c r="E254" s="5" t="str">
        <f t="shared" si="119"/>
        <v/>
      </c>
      <c r="F254" s="9" t="str">
        <f t="shared" si="118"/>
        <v/>
      </c>
      <c r="DA254" s="1">
        <f t="shared" si="115"/>
        <v>0</v>
      </c>
    </row>
    <row r="255" spans="4:105" x14ac:dyDescent="0.25">
      <c r="E255" s="5" t="str">
        <f t="shared" si="119"/>
        <v/>
      </c>
      <c r="F255" s="9" t="str">
        <f t="shared" si="118"/>
        <v/>
      </c>
      <c r="DA255" s="1">
        <f t="shared" si="115"/>
        <v>1</v>
      </c>
    </row>
    <row r="256" spans="4:105" x14ac:dyDescent="0.25">
      <c r="E256" s="5" t="str">
        <f t="shared" si="119"/>
        <v/>
      </c>
      <c r="F256" s="9" t="str">
        <f t="shared" si="118"/>
        <v/>
      </c>
      <c r="DA256" s="1">
        <f t="shared" si="115"/>
        <v>0</v>
      </c>
    </row>
    <row r="257" spans="5:105" x14ac:dyDescent="0.25">
      <c r="E257" s="5" t="str">
        <f t="shared" si="119"/>
        <v/>
      </c>
      <c r="F257" s="9" t="str">
        <f t="shared" si="118"/>
        <v/>
      </c>
      <c r="DA257" s="1">
        <f t="shared" si="115"/>
        <v>1</v>
      </c>
    </row>
    <row r="258" spans="5:105" x14ac:dyDescent="0.25">
      <c r="E258" s="5" t="str">
        <f t="shared" si="119"/>
        <v/>
      </c>
      <c r="F258" s="9" t="str">
        <f t="shared" si="118"/>
        <v/>
      </c>
      <c r="DA258" s="1">
        <f t="shared" si="115"/>
        <v>0</v>
      </c>
    </row>
    <row r="259" spans="5:105" x14ac:dyDescent="0.25">
      <c r="E259" s="5" t="str">
        <f t="shared" si="119"/>
        <v/>
      </c>
      <c r="F259" s="9" t="str">
        <f t="shared" si="118"/>
        <v/>
      </c>
      <c r="DA259" s="1">
        <f t="shared" si="115"/>
        <v>1</v>
      </c>
    </row>
    <row r="260" spans="5:105" x14ac:dyDescent="0.25">
      <c r="E260" s="5" t="str">
        <f t="shared" si="119"/>
        <v/>
      </c>
      <c r="F260" s="9" t="str">
        <f t="shared" si="118"/>
        <v/>
      </c>
      <c r="DA260" s="1">
        <f t="shared" si="115"/>
        <v>0</v>
      </c>
    </row>
    <row r="261" spans="5:105" x14ac:dyDescent="0.25">
      <c r="DA261" s="1">
        <f t="shared" si="115"/>
        <v>1</v>
      </c>
    </row>
    <row r="262" spans="5:105" x14ac:dyDescent="0.25">
      <c r="DA262" s="1">
        <f t="shared" si="115"/>
        <v>0</v>
      </c>
    </row>
    <row r="263" spans="5:105" x14ac:dyDescent="0.25">
      <c r="DA263" s="1">
        <f t="shared" si="115"/>
        <v>1</v>
      </c>
    </row>
    <row r="264" spans="5:105" x14ac:dyDescent="0.25">
      <c r="DA264" s="1">
        <f t="shared" si="115"/>
        <v>0</v>
      </c>
    </row>
    <row r="265" spans="5:105" x14ac:dyDescent="0.25">
      <c r="DA265" s="1">
        <f t="shared" si="115"/>
        <v>1</v>
      </c>
    </row>
    <row r="266" spans="5:105" x14ac:dyDescent="0.25">
      <c r="DA266" s="1">
        <f t="shared" si="115"/>
        <v>0</v>
      </c>
    </row>
    <row r="267" spans="5:105" x14ac:dyDescent="0.25">
      <c r="DA267" s="1">
        <f t="shared" si="115"/>
        <v>1</v>
      </c>
    </row>
    <row r="268" spans="5:105" x14ac:dyDescent="0.25">
      <c r="DA268" s="1">
        <f t="shared" si="115"/>
        <v>0</v>
      </c>
    </row>
    <row r="269" spans="5:105" x14ac:dyDescent="0.25">
      <c r="DA269" s="1">
        <f t="shared" si="115"/>
        <v>1</v>
      </c>
    </row>
    <row r="270" spans="5:105" x14ac:dyDescent="0.25">
      <c r="DA270" s="1">
        <f t="shared" si="115"/>
        <v>0</v>
      </c>
    </row>
    <row r="271" spans="5:105" x14ac:dyDescent="0.25">
      <c r="DA271" s="1">
        <f t="shared" si="115"/>
        <v>1</v>
      </c>
    </row>
    <row r="272" spans="5:105" x14ac:dyDescent="0.25">
      <c r="DA272" s="1">
        <f t="shared" si="115"/>
        <v>0</v>
      </c>
    </row>
    <row r="273" spans="105:105" x14ac:dyDescent="0.25">
      <c r="DA273" s="1">
        <f t="shared" si="115"/>
        <v>1</v>
      </c>
    </row>
    <row r="274" spans="105:105" x14ac:dyDescent="0.25">
      <c r="DA274" s="1">
        <f t="shared" si="115"/>
        <v>0</v>
      </c>
    </row>
    <row r="275" spans="105:105" x14ac:dyDescent="0.25">
      <c r="DA275" s="1">
        <f t="shared" si="115"/>
        <v>1</v>
      </c>
    </row>
    <row r="276" spans="105:105" x14ac:dyDescent="0.25">
      <c r="DA276" s="1">
        <f t="shared" si="115"/>
        <v>0</v>
      </c>
    </row>
    <row r="277" spans="105:105" x14ac:dyDescent="0.25">
      <c r="DA277" s="1">
        <f t="shared" si="115"/>
        <v>1</v>
      </c>
    </row>
    <row r="278" spans="105:105" x14ac:dyDescent="0.25">
      <c r="DA278" s="1">
        <f t="shared" si="115"/>
        <v>0</v>
      </c>
    </row>
    <row r="279" spans="105:105" x14ac:dyDescent="0.25">
      <c r="DA279" s="1">
        <f t="shared" ref="DA279:DA287" si="120">MOD(ROW(CZ279),2)</f>
        <v>1</v>
      </c>
    </row>
    <row r="280" spans="105:105" x14ac:dyDescent="0.25">
      <c r="DA280" s="1">
        <f t="shared" si="120"/>
        <v>0</v>
      </c>
    </row>
    <row r="281" spans="105:105" x14ac:dyDescent="0.25">
      <c r="DA281" s="1">
        <f t="shared" si="120"/>
        <v>1</v>
      </c>
    </row>
    <row r="282" spans="105:105" x14ac:dyDescent="0.25">
      <c r="DA282" s="1">
        <f t="shared" si="120"/>
        <v>0</v>
      </c>
    </row>
    <row r="283" spans="105:105" x14ac:dyDescent="0.25">
      <c r="DA283" s="1">
        <f t="shared" si="120"/>
        <v>1</v>
      </c>
    </row>
    <row r="284" spans="105:105" x14ac:dyDescent="0.25">
      <c r="DA284" s="1">
        <f t="shared" si="120"/>
        <v>0</v>
      </c>
    </row>
    <row r="285" spans="105:105" x14ac:dyDescent="0.25">
      <c r="DA285" s="1">
        <f t="shared" si="120"/>
        <v>1</v>
      </c>
    </row>
    <row r="286" spans="105:105" x14ac:dyDescent="0.25">
      <c r="DA286" s="1">
        <f t="shared" si="120"/>
        <v>0</v>
      </c>
    </row>
    <row r="287" spans="105:105" x14ac:dyDescent="0.25">
      <c r="DA287" s="1">
        <f t="shared" si="120"/>
        <v>1</v>
      </c>
    </row>
  </sheetData>
  <autoFilter ref="A6:CT151" xr:uid="{A30A6EE8-F141-402A-8CE0-64304C0366DA}">
    <filterColumn colId="1">
      <customFilters>
        <customFilter operator="notEqual" val=" "/>
      </customFilters>
    </filterColumn>
  </autoFilter>
  <mergeCells count="15">
    <mergeCell ref="H5:K5"/>
    <mergeCell ref="AM4:AZ4"/>
    <mergeCell ref="L5:R5"/>
    <mergeCell ref="S5:Y5"/>
    <mergeCell ref="Z5:AF5"/>
    <mergeCell ref="AG5:AM5"/>
    <mergeCell ref="AN5:AT5"/>
    <mergeCell ref="AU5:BA5"/>
    <mergeCell ref="CK5:CQ5"/>
    <mergeCell ref="CR5:CX5"/>
    <mergeCell ref="BB5:BH5"/>
    <mergeCell ref="BI5:BO5"/>
    <mergeCell ref="BP5:BV5"/>
    <mergeCell ref="BW5:CC5"/>
    <mergeCell ref="CD5:CJ5"/>
  </mergeCells>
  <conditionalFormatting sqref="L7:CT130">
    <cfRule type="expression" dxfId="12" priority="7">
      <formula>AND($E7&lt;=L$6,$F7&gt;=L$6,$C$1=L$6)</formula>
    </cfRule>
  </conditionalFormatting>
  <conditionalFormatting sqref="H7:K14 H17:K122">
    <cfRule type="expression" dxfId="11" priority="14">
      <formula>AND($B7=1,$DA7=1)</formula>
    </cfRule>
  </conditionalFormatting>
  <conditionalFormatting sqref="H7:K160">
    <cfRule type="expression" dxfId="10" priority="6">
      <formula>AND($B7=1,$DA7=1)</formula>
    </cfRule>
  </conditionalFormatting>
  <conditionalFormatting sqref="G7:G194">
    <cfRule type="colorScale" priority="5">
      <colorScale>
        <cfvo type="num" val="0"/>
        <cfvo type="num" val="100"/>
        <color rgb="FFFFFF00"/>
        <color rgb="FF00B050"/>
      </colorScale>
    </cfRule>
    <cfRule type="expression" dxfId="9" priority="4">
      <formula>AND(G7="",DA7=1,A7&lt;&gt;"")</formula>
    </cfRule>
  </conditionalFormatting>
  <conditionalFormatting sqref="L7:CT160">
    <cfRule type="expression" dxfId="8" priority="8">
      <formula>$C$1=L$6</formula>
    </cfRule>
    <cfRule type="expression" dxfId="7" priority="9">
      <formula>AND($E7&lt;=L$6,$B7=1,$F7&gt;=L$6,L$6&gt;=$C$1)</formula>
    </cfRule>
    <cfRule type="expression" dxfId="6" priority="10">
      <formula>AND($E7&lt;=L$6,$B7=0,$F7&gt;=L$6,L$6&gt;=$C$1)</formula>
    </cfRule>
    <cfRule type="expression" dxfId="5" priority="11">
      <formula>AND($E7&lt;=L$6,$B7=1,$F7&gt;=L$6,L$6&lt;$C$1,L$6&lt;$CZ7)</formula>
    </cfRule>
    <cfRule type="expression" dxfId="0" priority="12">
      <formula>AND($E7&lt;=L$6,$B7=0,$F7&gt;=L$6,L$6&lt;$C$1,L$6&gt;$CZ7)</formula>
    </cfRule>
    <cfRule type="expression" dxfId="1" priority="15">
      <formula>AND($E7&lt;=L$6,$B7=0,$F7&gt;=L$6,L$6&lt;$C$1,L$6&lt;$CZ7)</formula>
    </cfRule>
    <cfRule type="expression" dxfId="4" priority="13">
      <formula>AND($E7&lt;=L$6,$B7=1,$F7&gt;=L$6,L$6&lt;$C$1,L$6&gt;=$CZ7)</formula>
    </cfRule>
  </conditionalFormatting>
  <conditionalFormatting sqref="C3">
    <cfRule type="expression" dxfId="3" priority="2">
      <formula>C3&lt;="2/6/2019"</formula>
    </cfRule>
    <cfRule type="expression" dxfId="2" priority="1">
      <formula>C3&gt;"2/06/2019"</formula>
    </cfRule>
  </conditionalFormatting>
  <pageMargins left="0" right="0" top="0" bottom="0" header="0" footer="0.31496062992125984"/>
  <pageSetup paperSize="9" scale="21" fitToWidth="2" orientation="landscape" horizontalDpi="4294967293" verticalDpi="0" r:id="rId1"/>
  <ignoredErrors>
    <ignoredError sqref="B20:B32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2019-03-16T17:51:19Z</dcterms:modified>
</cp:coreProperties>
</file>